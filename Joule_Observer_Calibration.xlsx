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Calibration Log" sheetId="2" state="visible" r:id="rId4"/>
    <sheet name="Energy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<sst xmlns="http://schemas.openxmlformats.org/spreadsheetml/2006/main" count="229" uniqueCount="182">
  <si>
    <t xml:space="preserve">Joule Observer: calibration workbook</t>
  </si>
  <si>
    <t xml:space="preserve">Compare device display and website against the oscilloscope, then against theory. Team 34, ELECTENG 209.</t>
  </si>
  <si>
    <t xml:space="preserve">HOW TO USE</t>
  </si>
  <si>
    <t xml:space="preserve">1. Yellow cells with blue text are inputs. Grey cells are formulas, do not overwrite them.</t>
  </si>
  <si>
    <t xml:space="preserve">2. Set the load, then fill one row per test on 'Calibration Log'. Row 7 is an EXAMPLE: overwrite it.</t>
  </si>
  <si>
    <t xml:space="preserve">3. Scope: Vrms of the source, Vrms across the shunt (mV), and the V-to-I time delay (us, positive = current lags).</t>
  </si>
  <si>
    <t xml:space="preserve">4. Display and website columns: type what you read. Website shows V (2 dp), I (mA), P in W (2 dp). It has no energy field.</t>
  </si>
  <si>
    <t xml:space="preserve">5. 'Summary' gives average and worst-case error per comparison and recommended new scale constants for calcs.h.</t>
  </si>
  <si>
    <t xml:space="preserve">6. 'Energy' is a separate timed test (display energy is whole mWh, so run long enough).</t>
  </si>
  <si>
    <t xml:space="preserve">Measurement constants</t>
  </si>
  <si>
    <t xml:space="preserve">Item</t>
  </si>
  <si>
    <t xml:space="preserve">Value</t>
  </si>
  <si>
    <t xml:space="preserve">Unit</t>
  </si>
  <si>
    <t xml:space="preserve">Source / note</t>
  </si>
  <si>
    <t xml:space="preserve">Shunt resistance</t>
  </si>
  <si>
    <t xml:space="preserve">ohm</t>
  </si>
  <si>
    <t xml:space="preserve">analogue/MASTER_SCHEMATIC_EE209.asc, 0.5 ohm shunt (calcs.h). Measure the real one with a meter and overwrite.</t>
  </si>
  <si>
    <t xml:space="preserve">Nominal frequency</t>
  </si>
  <si>
    <t xml:space="preserve">Hz</t>
  </si>
  <si>
    <t xml:space="preserve">README spec: 14 Vrms, 500 Hz</t>
  </si>
  <si>
    <t xml:space="preserve">Accuracy spec</t>
  </si>
  <si>
    <t xml:space="preserve">% of full scale</t>
  </si>
  <si>
    <t xml:space="preserve">README spec table: +/-5% of full scale</t>
  </si>
  <si>
    <t xml:space="preserve">Full scale Vrms</t>
  </si>
  <si>
    <t xml:space="preserve">V</t>
  </si>
  <si>
    <t xml:space="preserve">ASSUMPTION: 14 V +10% (README source tolerance). Change if the team defines it differently.</t>
  </si>
  <si>
    <t xml:space="preserve">Full scale Irms</t>
  </si>
  <si>
    <t xml:space="preserve">mA</t>
  </si>
  <si>
    <t xml:space="preserve">ASSUMPTION: 7.5 VA / 12.6 V (largest load at lowest source voltage).</t>
  </si>
  <si>
    <t xml:space="preserve">Full scale power</t>
  </si>
  <si>
    <t xml:space="preserve">mW</t>
  </si>
  <si>
    <t xml:space="preserve">ASSUMPTION: 7.5 VA upper load limit, rounded.</t>
  </si>
  <si>
    <t xml:space="preserve">Display vs website tolerance, V</t>
  </si>
  <si>
    <t xml:space="preserve">Website shows 2 dp, so 0.01 V is rounding only.</t>
  </si>
  <si>
    <t xml:space="preserve">Display vs website tolerance, I</t>
  </si>
  <si>
    <t xml:space="preserve">Website shows whole mA.</t>
  </si>
  <si>
    <t xml:space="preserve">Display vs website tolerance, P</t>
  </si>
  <si>
    <t xml:space="preserve">Website shows W to 2 dp, so 10 mW is rounding only.</t>
  </si>
  <si>
    <t xml:space="preserve">Firmware constants (copy from calcs.h / what is flashed)</t>
  </si>
  <si>
    <t xml:space="preserve">Constant</t>
  </si>
  <si>
    <t xml:space="preserve">Meaning</t>
  </si>
  <si>
    <t xml:space="preserve">ADC_OFFSET_COUNTS</t>
  </si>
  <si>
    <t xml:space="preserve">counts</t>
  </si>
  <si>
    <t xml:space="preserve">Bias level subtracted from each sample (2.0625 V / 5 V x 1024)</t>
  </si>
  <si>
    <t xml:space="preserve">V_MV_PER_COUNT_X100</t>
  </si>
  <si>
    <t xml:space="preserve">x100 mV/count</t>
  </si>
  <si>
    <t xml:space="preserve">109.26 mV of source voltage per ADC count</t>
  </si>
  <si>
    <t xml:space="preserve">I_MA_PER_COUNT_X1000</t>
  </si>
  <si>
    <t xml:space="preserve">x1000 mA/count</t>
  </si>
  <si>
    <t xml:space="preserve">3.877 mA of load current per ADC count</t>
  </si>
  <si>
    <t xml:space="preserve">P_MW_PER_COUNT2_X10000</t>
  </si>
  <si>
    <t xml:space="preserve">x10000 mW/count^2</t>
  </si>
  <si>
    <t xml:space="preserve">0.4236 mW per count x count</t>
  </si>
  <si>
    <t xml:space="preserve">ADC and front-end check</t>
  </si>
  <si>
    <t xml:space="preserve">Measured AVCC (ADC reference)</t>
  </si>
  <si>
    <t xml:space="preserve">Measure on the board with a meter. 5.000 is the nominal placeholder.</t>
  </si>
  <si>
    <t xml:space="preserve">Measured bias node (VREF) at ADC pin, no signal</t>
  </si>
  <si>
    <t xml:space="preserve">Measure at PC0/PC1 with the source off. 2.0625 is the LTspice value, so overwrite it.</t>
  </si>
  <si>
    <t xml:space="preserve">Voltage channel gain</t>
  </si>
  <si>
    <t xml:space="preserve">V/V</t>
  </si>
  <si>
    <t xml:space="preserve">From calcs.h comment (divider x difference amp). Check against the LTspice model.</t>
  </si>
  <si>
    <t xml:space="preserve">Current channel gain</t>
  </si>
  <si>
    <t xml:space="preserve">mV per mA</t>
  </si>
  <si>
    <t xml:space="preserve">From calcs.h comment (0.5 ohm x 2.5185).</t>
  </si>
  <si>
    <t xml:space="preserve">ADC step (1 LSB)</t>
  </si>
  <si>
    <t xml:space="preserve">mV</t>
  </si>
  <si>
    <t xml:space="preserve">AVCC / 1024</t>
  </si>
  <si>
    <t xml:space="preserve">Bias level in counts (measured)</t>
  </si>
  <si>
    <t xml:space="preserve">Compare with ADC_OFFSET_COUNTS</t>
  </si>
  <si>
    <t xml:space="preserve">Recommended ADC_OFFSET_COUNTS</t>
  </si>
  <si>
    <t xml:space="preserve">Use this if it differs from the flashed value</t>
  </si>
  <si>
    <t xml:space="preserve">Theoretical voltage scale</t>
  </si>
  <si>
    <t xml:space="preserve">mV/count</t>
  </si>
  <si>
    <t xml:space="preserve">LSB / V gain</t>
  </si>
  <si>
    <t xml:space="preserve">Theoretical current scale</t>
  </si>
  <si>
    <t xml:space="preserve">mA/count</t>
  </si>
  <si>
    <t xml:space="preserve">LSB / I gain</t>
  </si>
  <si>
    <t xml:space="preserve">Theoretical power scale</t>
  </si>
  <si>
    <t xml:space="preserve">mW/count^2</t>
  </si>
  <si>
    <t xml:space="preserve">mV x mA / 1000</t>
  </si>
  <si>
    <t xml:space="preserve">Firmware voltage scale</t>
  </si>
  <si>
    <t xml:space="preserve">Firmware current scale</t>
  </si>
  <si>
    <t xml:space="preserve">Firmware power scale</t>
  </si>
  <si>
    <t xml:space="preserve">Firmware vs theory, voltage</t>
  </si>
  <si>
    <t xml:space="preserve">%</t>
  </si>
  <si>
    <t xml:space="preserve">Non-zero = AVCC or gain differs from the assumption</t>
  </si>
  <si>
    <t xml:space="preserve">Firmware vs theory, current</t>
  </si>
  <si>
    <t xml:space="preserve">Firmware vs theory, power</t>
  </si>
  <si>
    <t xml:space="preserve">Calibration log: display / website vs oscilloscope vs theory</t>
  </si>
  <si>
    <t xml:space="preserve">One row per test. Errors are (measured - reference) / reference. Pass/fail is on % of full scale (Setup B16). Row 7 is an example.</t>
  </si>
  <si>
    <t xml:space="preserve">THEORY INPUTS</t>
  </si>
  <si>
    <t xml:space="preserve">OSCILLOSCOPE</t>
  </si>
  <si>
    <t xml:space="preserve">DEVICE DISPLAY</t>
  </si>
  <si>
    <t xml:space="preserve">WEBSITE</t>
  </si>
  <si>
    <t xml:space="preserve">THEORY (calculated)</t>
  </si>
  <si>
    <t xml:space="preserve">SCOPE (calculated)</t>
  </si>
  <si>
    <t xml:space="preserve">ERROR vs SCOPE and THEORY (%)</t>
  </si>
  <si>
    <t xml:space="preserve">CHECKS</t>
  </si>
  <si>
    <t xml:space="preserve">CORRECTION RATIOS</t>
  </si>
  <si>
    <t xml:space="preserve">Test #</t>
  </si>
  <si>
    <t xml:space="preserve">Load setting / notes</t>
  </si>
  <si>
    <t xml:space="preserve">Source Vrms (V)</t>
  </si>
  <si>
    <t xml:space="preserve">Load S (VA)</t>
  </si>
  <si>
    <t xml:space="preserve">Nominal PF</t>
  </si>
  <si>
    <t xml:space="preserve">Scope Vrms (V)</t>
  </si>
  <si>
    <t xml:space="preserve">Scope shunt Vrms (mV)</t>
  </si>
  <si>
    <t xml:space="preserve">Scope V-I delay (us)</t>
  </si>
  <si>
    <t xml:space="preserve">Scope freq (Hz)</t>
  </si>
  <si>
    <t xml:space="preserve">Display Vrms (V)</t>
  </si>
  <si>
    <t xml:space="preserve">Display Irms (mA)</t>
  </si>
  <si>
    <t xml:space="preserve">Display P (mW)</t>
  </si>
  <si>
    <t xml:space="preserve">Website Vrms (V)</t>
  </si>
  <si>
    <t xml:space="preserve">Website Irms (mA)</t>
  </si>
  <si>
    <t xml:space="preserve">Website P (W)</t>
  </si>
  <si>
    <t xml:space="preserve">Theory Vrms (V)</t>
  </si>
  <si>
    <t xml:space="preserve">Theory Irms (mA)</t>
  </si>
  <si>
    <t xml:space="preserve">Theory P (mW)</t>
  </si>
  <si>
    <t xml:space="preserve">Scope Irms (mA)</t>
  </si>
  <si>
    <t xml:space="preserve">Scope phase (deg)</t>
  </si>
  <si>
    <t xml:space="preserve">Scope PF</t>
  </si>
  <si>
    <t xml:space="preserve">Scope P (mW)</t>
  </si>
  <si>
    <t xml:space="preserve">Disp vs Scope: V</t>
  </si>
  <si>
    <t xml:space="preserve">Disp vs Scope: I</t>
  </si>
  <si>
    <t xml:space="preserve">Disp vs Scope: P</t>
  </si>
  <si>
    <t xml:space="preserve">Disp vs Theory: V</t>
  </si>
  <si>
    <t xml:space="preserve">Disp vs Theory: I</t>
  </si>
  <si>
    <t xml:space="preserve">Disp vs Theory: P</t>
  </si>
  <si>
    <t xml:space="preserve">Web vs Scope: V</t>
  </si>
  <si>
    <t xml:space="preserve">Web vs Scope: I</t>
  </si>
  <si>
    <t xml:space="preserve">Web vs Scope: P</t>
  </si>
  <si>
    <t xml:space="preserve">Web vs Theory: V</t>
  </si>
  <si>
    <t xml:space="preserve">Web vs Theory: I</t>
  </si>
  <si>
    <t xml:space="preserve">Web vs Theory: P</t>
  </si>
  <si>
    <t xml:space="preserve">Scope vs Theory: V</t>
  </si>
  <si>
    <t xml:space="preserve">Scope vs Theory: I</t>
  </si>
  <si>
    <t xml:space="preserve">Scope vs Theory: P</t>
  </si>
  <si>
    <t xml:space="preserve">Display = Website?</t>
  </si>
  <si>
    <t xml:space="preserve">Display vs Scope (% FS spec)</t>
  </si>
  <si>
    <t xml:space="preserve">Ratio Scope/Disp: V</t>
  </si>
  <si>
    <t xml:space="preserve">Ratio Scope/Disp: I</t>
  </si>
  <si>
    <t xml:space="preserve">Ratio Scope/Disp: P</t>
  </si>
  <si>
    <t xml:space="preserve">EXAMPLE: 5 VA, PF 0.8. Overwrite</t>
  </si>
  <si>
    <t xml:space="preserve">Energy test: display energy change over a timed run</t>
  </si>
  <si>
    <t xml:space="preserve">Hold a steady load, note display energy, wait, note again. Display energy is whole mWh, so allow +/-1 mWh of quantisation. The website has no energy field. Row 6 is an example.</t>
  </si>
  <si>
    <t xml:space="preserve">Power (mW) (scope or Log)</t>
  </si>
  <si>
    <t xml:space="preserve">Interval (s)</t>
  </si>
  <si>
    <t xml:space="preserve">Display energy start (mWh)</t>
  </si>
  <si>
    <t xml:space="preserve">Display energy end (mWh)</t>
  </si>
  <si>
    <t xml:space="preserve">Theory dE (mWh)</t>
  </si>
  <si>
    <t xml:space="preserve">Display dE (mWh)</t>
  </si>
  <si>
    <t xml:space="preserve">Error (%)</t>
  </si>
  <si>
    <t xml:space="preserve">Quantisation +/-1 mWh (% of theory)</t>
  </si>
  <si>
    <t xml:space="preserve">Result</t>
  </si>
  <si>
    <t xml:space="preserve">EXAMPLE: 4 W for 10 min. Overwrite</t>
  </si>
  <si>
    <t xml:space="preserve">Result rule (assumption): pass if |display dE - theory dE| &lt;= 1 mWh + spec % x theory dE. Spec % is Setup B16.</t>
  </si>
  <si>
    <t xml:space="preserve">Summary</t>
  </si>
  <si>
    <t xml:space="preserve">Average and worst-case error across the filled-in rows of 'Calibration Log'. Blank until you enter data.</t>
  </si>
  <si>
    <t xml:space="preserve">Error by comparison</t>
  </si>
  <si>
    <t xml:space="preserve">Comparison</t>
  </si>
  <si>
    <t xml:space="preserve">Quantity</t>
  </si>
  <si>
    <t xml:space="preserve">Average error</t>
  </si>
  <si>
    <t xml:space="preserve">Worst |error|</t>
  </si>
  <si>
    <t xml:space="preserve">Rows used</t>
  </si>
  <si>
    <t xml:space="preserve">Display vs Scope</t>
  </si>
  <si>
    <t xml:space="preserve">Vrms</t>
  </si>
  <si>
    <t xml:space="preserve">Irms</t>
  </si>
  <si>
    <t xml:space="preserve">Power</t>
  </si>
  <si>
    <t xml:space="preserve">Display vs Theory</t>
  </si>
  <si>
    <t xml:space="preserve">Website vs Scope</t>
  </si>
  <si>
    <t xml:space="preserve">Website vs Theory</t>
  </si>
  <si>
    <t xml:space="preserve">Scope vs Theory</t>
  </si>
  <si>
    <t xml:space="preserve">Display vs Scope, pass/fail (% of full scale)</t>
  </si>
  <si>
    <t xml:space="preserve">PASS rows</t>
  </si>
  <si>
    <t xml:space="preserve">FAIL rows</t>
  </si>
  <si>
    <t xml:space="preserve">Display / website mismatches (CHECK)</t>
  </si>
  <si>
    <t xml:space="preserve">Recommended scale constants for calcs.h (average of Scope / Display)</t>
  </si>
  <si>
    <t xml:space="preserve">Flashed value</t>
  </si>
  <si>
    <t xml:space="preserve">Avg correction ratio</t>
  </si>
  <si>
    <t xml:space="preserve">Recommended value</t>
  </si>
  <si>
    <t xml:space="preserve">Offset: recommended ADC_OFFSET_COUNTS (from measured bias, Setup)</t>
  </si>
  <si>
    <t xml:space="preserve">Check: V ratio x I ratio vs P ratio</t>
  </si>
  <si>
    <t xml:space="preserve">Ratio = scope reading / display reading. Fix V and I first, then re-check P. Apply new constants, reflash, then repeat the tests.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</si>
</sst>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"/>
    <numFmt numFmtId="166" formatCode="0.0"/>
    <numFmt numFmtId="167" formatCode="0"/>
    <numFmt numFmtId="168" formatCode="0.0%"/>
    <numFmt numFmtId="169" formatCode="0.000"/>
    <numFmt numFmtId="170" formatCode="0.00"/>
    <numFmt numFmtId="171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D9D9D9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CE4D6"/>
      <rgbColor rgb="FFF2F2F2"/>
      <rgbColor rgb="FFFFC7CE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Display vs Scope error per test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'Calibration Log'!W6</c:f>
              <c:strCache>
                <c:ptCount val="1"/>
                <c:pt idx="0">
                  <c:v>Disp vs Scope: V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'Calibration Log'!$A$7:$A$26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'Calibration Log'!$W$7:$W$26</c:f>
              <c:numCache>
                <c:formatCode>0.0%</c:formatCode>
                <c:ptCount val="20"/>
                <c:pt idx="0">
                  <c:v>0.00285306704707567</c:v>
                </c:pt>
              </c:numCache>
            </c:numRef>
          </c:val>
        </c:ser>
        <c:ser>
          <c:idx val="1"/>
          <c:order val="1"/>
          <c:tx>
            <c:strRef>
              <c:f>'Calibration Log'!X6</c:f>
              <c:strCache>
                <c:ptCount val="1"/>
                <c:pt idx="0">
                  <c:v>Disp vs Scope: 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'Calibration Log'!$A$7:$A$26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'Calibration Log'!$X$7:$X$26</c:f>
              <c:numCache>
                <c:formatCode>0.0%</c:formatCode>
                <c:ptCount val="20"/>
                <c:pt idx="0">
                  <c:v>-0.0173572228443449</c:v>
                </c:pt>
              </c:numCache>
            </c:numRef>
          </c:val>
        </c:ser>
        <c:ser>
          <c:idx val="2"/>
          <c:order val="2"/>
          <c:tx>
            <c:strRef>
              <c:f>'Calibration Log'!Y6</c:f>
              <c:strCache>
                <c:ptCount val="1"/>
                <c:pt idx="0">
                  <c:v>Disp vs Scope: P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'Calibration Log'!$A$7:$A$26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'Calibration Log'!$Y$7:$Y$26</c:f>
              <c:numCache>
                <c:formatCode>0.0%</c:formatCode>
                <c:ptCount val="20"/>
                <c:pt idx="0">
                  <c:v>-0.0136776657509249</c:v>
                </c:pt>
              </c:numCache>
            </c:numRef>
          </c:val>
        </c:ser>
        <c:gapWidth val="150"/>
        <c:overlap val="0"/>
        <c:axId val="55695858"/>
        <c:axId val="25672692"/>
      </c:barChart>
      <c:catAx>
        <c:axId val="556958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Test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72692"/>
        <c:crosses val="autoZero"/>
        <c:auto val="1"/>
        <c:lblAlgn val="ctr"/>
        <c:lblOffset val="100"/>
        <c:noMultiLvlLbl val="0"/>
      </c:catAx>
      <c:valAx>
        <c:axId val="25672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Error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95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16</xdr:col>
      <xdr:colOff>364680</xdr:colOff>
      <xdr:row>17</xdr:row>
      <xdr:rowOff>182880</xdr:rowOff>
    </xdr:to>
    <xdr:graphicFrame>
      <xdr:nvGraphicFramePr>
        <xdr:cNvPr id="0" name="Chart 1"/>
        <xdr:cNvGraphicFramePr/>
      </xdr:nvGraphicFramePr>
      <xdr:xfrm>
        <a:off x="921060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2" customFormat="false" ht="15" hidden="false" customHeight="false" outlineLevel="0" collapsed="false">
      <c r="A12" s="4" t="s">
        <v>9</v>
      </c>
      <c r="B12" s="4"/>
      <c r="C12" s="4"/>
      <c r="D12" s="4"/>
    </row>
    <row r="13" customFormat="false" ht="15" hidden="false" customHeight="false" outlineLevel="0" collapsed="false">
      <c r="A13" s="5" t="s">
        <v>10</v>
      </c>
      <c r="B13" s="5" t="s">
        <v>11</v>
      </c>
      <c r="C13" s="5" t="s">
        <v>12</v>
      </c>
      <c r="D13" s="5" t="s">
        <v>13</v>
      </c>
    </row>
    <row r="14" customFormat="false" ht="15" hidden="false" customHeight="false" outlineLevel="0" collapsed="false">
      <c r="A14" s="2" t="s">
        <v>14</v>
      </c>
      <c r="B14" s="6" t="n">
        <v>0.5</v>
      </c>
      <c r="C14" s="2" t="s">
        <v>15</v>
      </c>
      <c r="D14" s="2" t="s">
        <v>16</v>
      </c>
    </row>
    <row r="15" customFormat="false" ht="15" hidden="false" customHeight="false" outlineLevel="0" collapsed="false">
      <c r="A15" s="2" t="s">
        <v>17</v>
      </c>
      <c r="B15" s="6" t="n">
        <v>500</v>
      </c>
      <c r="C15" s="2" t="s">
        <v>18</v>
      </c>
      <c r="D15" s="2" t="s">
        <v>19</v>
      </c>
    </row>
    <row r="16" customFormat="false" ht="15" hidden="false" customHeight="false" outlineLevel="0" collapsed="false">
      <c r="A16" s="2" t="s">
        <v>20</v>
      </c>
      <c r="B16" s="6" t="n">
        <v>5</v>
      </c>
      <c r="C16" s="2" t="s">
        <v>21</v>
      </c>
      <c r="D16" s="2" t="s">
        <v>22</v>
      </c>
    </row>
    <row r="17" customFormat="false" ht="15" hidden="false" customHeight="false" outlineLevel="0" collapsed="false">
      <c r="A17" s="2" t="s">
        <v>23</v>
      </c>
      <c r="B17" s="6" t="n">
        <v>15.4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26</v>
      </c>
      <c r="B18" s="6" t="n">
        <v>595</v>
      </c>
      <c r="C18" s="2" t="s">
        <v>27</v>
      </c>
      <c r="D18" s="2" t="s">
        <v>28</v>
      </c>
    </row>
    <row r="19" customFormat="false" ht="15" hidden="false" customHeight="false" outlineLevel="0" collapsed="false">
      <c r="A19" s="2" t="s">
        <v>29</v>
      </c>
      <c r="B19" s="6" t="n">
        <v>7500</v>
      </c>
      <c r="C19" s="2" t="s">
        <v>30</v>
      </c>
      <c r="D19" s="2" t="s">
        <v>31</v>
      </c>
    </row>
    <row r="20" customFormat="false" ht="15" hidden="false" customHeight="false" outlineLevel="0" collapsed="false">
      <c r="A20" s="2" t="s">
        <v>32</v>
      </c>
      <c r="B20" s="6" t="n">
        <v>0.01</v>
      </c>
      <c r="C20" s="2" t="s">
        <v>24</v>
      </c>
      <c r="D20" s="2" t="s">
        <v>33</v>
      </c>
    </row>
    <row r="21" customFormat="false" ht="15" hidden="false" customHeight="false" outlineLevel="0" collapsed="false">
      <c r="A21" s="2" t="s">
        <v>34</v>
      </c>
      <c r="B21" s="6" t="n">
        <v>1</v>
      </c>
      <c r="C21" s="2" t="s">
        <v>27</v>
      </c>
      <c r="D21" s="2" t="s">
        <v>35</v>
      </c>
    </row>
    <row r="22" customFormat="false" ht="15" hidden="false" customHeight="false" outlineLevel="0" collapsed="false">
      <c r="A22" s="2" t="s">
        <v>36</v>
      </c>
      <c r="B22" s="6" t="n">
        <v>10</v>
      </c>
      <c r="C22" s="2" t="s">
        <v>30</v>
      </c>
      <c r="D22" s="2" t="s">
        <v>37</v>
      </c>
    </row>
    <row r="23" customFormat="false" ht="15" hidden="false" customHeight="false" outlineLevel="0" collapsed="false">
      <c r="A23" s="2"/>
      <c r="B23" s="2"/>
      <c r="C23" s="2"/>
      <c r="D23" s="2"/>
    </row>
    <row r="24" customFormat="false" ht="15" hidden="false" customHeight="false" outlineLevel="0" collapsed="false">
      <c r="A24" s="4" t="s">
        <v>38</v>
      </c>
      <c r="B24" s="4"/>
      <c r="C24" s="4"/>
      <c r="D24" s="4"/>
    </row>
    <row r="25" customFormat="false" ht="15" hidden="false" customHeight="false" outlineLevel="0" collapsed="false">
      <c r="A25" s="5" t="s">
        <v>39</v>
      </c>
      <c r="B25" s="5" t="s">
        <v>11</v>
      </c>
      <c r="C25" s="5" t="s">
        <v>12</v>
      </c>
      <c r="D25" s="5" t="s">
        <v>40</v>
      </c>
    </row>
    <row r="26" customFormat="false" ht="15" hidden="false" customHeight="false" outlineLevel="0" collapsed="false">
      <c r="A26" s="2" t="s">
        <v>41</v>
      </c>
      <c r="B26" s="6" t="n">
        <v>422</v>
      </c>
      <c r="C26" s="2" t="s">
        <v>42</v>
      </c>
      <c r="D26" s="2" t="s">
        <v>43</v>
      </c>
    </row>
    <row r="27" customFormat="false" ht="15" hidden="false" customHeight="false" outlineLevel="0" collapsed="false">
      <c r="A27" s="2" t="s">
        <v>44</v>
      </c>
      <c r="B27" s="6" t="n">
        <v>10926</v>
      </c>
      <c r="C27" s="2" t="s">
        <v>45</v>
      </c>
      <c r="D27" s="2" t="s">
        <v>46</v>
      </c>
    </row>
    <row r="28" customFormat="false" ht="15" hidden="false" customHeight="false" outlineLevel="0" collapsed="false">
      <c r="A28" s="2" t="s">
        <v>47</v>
      </c>
      <c r="B28" s="6" t="n">
        <v>3877</v>
      </c>
      <c r="C28" s="2" t="s">
        <v>48</v>
      </c>
      <c r="D28" s="2" t="s">
        <v>49</v>
      </c>
    </row>
    <row r="29" customFormat="false" ht="15" hidden="false" customHeight="false" outlineLevel="0" collapsed="false">
      <c r="A29" s="2" t="s">
        <v>50</v>
      </c>
      <c r="B29" s="6" t="n">
        <v>4236</v>
      </c>
      <c r="C29" s="2" t="s">
        <v>51</v>
      </c>
      <c r="D29" s="2" t="s">
        <v>52</v>
      </c>
    </row>
    <row r="30" customFormat="false" ht="15" hidden="false" customHeight="false" outlineLevel="0" collapsed="false">
      <c r="A30" s="2"/>
      <c r="B30" s="2"/>
      <c r="C30" s="2"/>
      <c r="D30" s="2"/>
    </row>
    <row r="31" customFormat="false" ht="15" hidden="false" customHeight="false" outlineLevel="0" collapsed="false">
      <c r="A31" s="4" t="s">
        <v>53</v>
      </c>
      <c r="B31" s="4"/>
      <c r="C31" s="4"/>
      <c r="D31" s="4"/>
    </row>
    <row r="32" customFormat="false" ht="15" hidden="false" customHeight="false" outlineLevel="0" collapsed="false">
      <c r="A32" s="5" t="s">
        <v>10</v>
      </c>
      <c r="B32" s="5" t="s">
        <v>11</v>
      </c>
      <c r="C32" s="5" t="s">
        <v>12</v>
      </c>
      <c r="D32" s="5" t="s">
        <v>13</v>
      </c>
    </row>
    <row r="33" customFormat="false" ht="15" hidden="false" customHeight="false" outlineLevel="0" collapsed="false">
      <c r="A33" s="2" t="s">
        <v>54</v>
      </c>
      <c r="B33" s="6" t="n">
        <v>5</v>
      </c>
      <c r="C33" s="2" t="s">
        <v>24</v>
      </c>
      <c r="D33" s="2" t="s">
        <v>55</v>
      </c>
    </row>
    <row r="34" customFormat="false" ht="15" hidden="false" customHeight="false" outlineLevel="0" collapsed="false">
      <c r="A34" s="2" t="s">
        <v>56</v>
      </c>
      <c r="B34" s="6" t="n">
        <v>2.0625</v>
      </c>
      <c r="C34" s="2" t="s">
        <v>24</v>
      </c>
      <c r="D34" s="2" t="s">
        <v>57</v>
      </c>
    </row>
    <row r="35" customFormat="false" ht="15" hidden="false" customHeight="false" outlineLevel="0" collapsed="false">
      <c r="A35" s="2" t="s">
        <v>58</v>
      </c>
      <c r="B35" s="6" t="n">
        <v>0.04469</v>
      </c>
      <c r="C35" s="2" t="s">
        <v>59</v>
      </c>
      <c r="D35" s="2" t="s">
        <v>60</v>
      </c>
    </row>
    <row r="36" customFormat="false" ht="15" hidden="false" customHeight="false" outlineLevel="0" collapsed="false">
      <c r="A36" s="2" t="s">
        <v>61</v>
      </c>
      <c r="B36" s="6" t="n">
        <v>1.2593</v>
      </c>
      <c r="C36" s="2" t="s">
        <v>62</v>
      </c>
      <c r="D36" s="2" t="s">
        <v>63</v>
      </c>
    </row>
    <row r="37" customFormat="false" ht="15" hidden="false" customHeight="false" outlineLevel="0" collapsed="false">
      <c r="A37" s="2" t="s">
        <v>64</v>
      </c>
      <c r="B37" s="7" t="n">
        <f aca="false">B33/1024*1000</f>
        <v>4.8828125</v>
      </c>
      <c r="C37" s="2" t="s">
        <v>65</v>
      </c>
      <c r="D37" s="2" t="s">
        <v>66</v>
      </c>
    </row>
    <row r="38" customFormat="false" ht="15" hidden="false" customHeight="false" outlineLevel="0" collapsed="false">
      <c r="A38" s="2" t="s">
        <v>67</v>
      </c>
      <c r="B38" s="8" t="n">
        <f aca="false">B34/B33*1024</f>
        <v>422.4</v>
      </c>
      <c r="C38" s="2" t="s">
        <v>42</v>
      </c>
      <c r="D38" s="2" t="s">
        <v>68</v>
      </c>
    </row>
    <row r="39" customFormat="false" ht="15" hidden="false" customHeight="false" outlineLevel="0" collapsed="false">
      <c r="A39" s="2" t="s">
        <v>69</v>
      </c>
      <c r="B39" s="9" t="n">
        <f aca="false">ROUND(B38,0)</f>
        <v>422</v>
      </c>
      <c r="C39" s="2" t="s">
        <v>42</v>
      </c>
      <c r="D39" s="2" t="s">
        <v>70</v>
      </c>
    </row>
    <row r="40" customFormat="false" ht="15" hidden="false" customHeight="false" outlineLevel="0" collapsed="false">
      <c r="A40" s="2" t="s">
        <v>71</v>
      </c>
      <c r="B40" s="7" t="n">
        <f aca="false">B37/B35</f>
        <v>109.259621839338</v>
      </c>
      <c r="C40" s="2" t="s">
        <v>72</v>
      </c>
      <c r="D40" s="2" t="s">
        <v>73</v>
      </c>
    </row>
    <row r="41" customFormat="false" ht="15" hidden="false" customHeight="false" outlineLevel="0" collapsed="false">
      <c r="A41" s="2" t="s">
        <v>74</v>
      </c>
      <c r="B41" s="7" t="n">
        <f aca="false">B37/B36</f>
        <v>3.87740212816644</v>
      </c>
      <c r="C41" s="2" t="s">
        <v>75</v>
      </c>
      <c r="D41" s="2" t="s">
        <v>76</v>
      </c>
    </row>
    <row r="42" customFormat="false" ht="15" hidden="false" customHeight="false" outlineLevel="0" collapsed="false">
      <c r="A42" s="2" t="s">
        <v>77</v>
      </c>
      <c r="B42" s="7" t="n">
        <f aca="false">B40*B41/1000</f>
        <v>0.423643490242508</v>
      </c>
      <c r="C42" s="2" t="s">
        <v>78</v>
      </c>
      <c r="D42" s="2" t="s">
        <v>79</v>
      </c>
    </row>
    <row r="43" customFormat="false" ht="15" hidden="false" customHeight="false" outlineLevel="0" collapsed="false">
      <c r="A43" s="2" t="s">
        <v>80</v>
      </c>
      <c r="B43" s="7" t="n">
        <f aca="false">B27/100</f>
        <v>109.26</v>
      </c>
      <c r="C43" s="2" t="s">
        <v>72</v>
      </c>
      <c r="D43" s="2"/>
    </row>
    <row r="44" customFormat="false" ht="15" hidden="false" customHeight="false" outlineLevel="0" collapsed="false">
      <c r="A44" s="2" t="s">
        <v>81</v>
      </c>
      <c r="B44" s="7" t="n">
        <f aca="false">B28/1000</f>
        <v>3.877</v>
      </c>
      <c r="C44" s="2" t="s">
        <v>75</v>
      </c>
      <c r="D44" s="2"/>
    </row>
    <row r="45" customFormat="false" ht="15" hidden="false" customHeight="false" outlineLevel="0" collapsed="false">
      <c r="A45" s="2" t="s">
        <v>82</v>
      </c>
      <c r="B45" s="7" t="n">
        <f aca="false">B29/10000</f>
        <v>0.4236</v>
      </c>
      <c r="C45" s="2" t="s">
        <v>78</v>
      </c>
      <c r="D45" s="2"/>
    </row>
    <row r="46" customFormat="false" ht="15" hidden="false" customHeight="false" outlineLevel="0" collapsed="false">
      <c r="A46" s="2" t="s">
        <v>83</v>
      </c>
      <c r="B46" s="10" t="n">
        <f aca="false">(B43-B40)/B40</f>
        <v>3.46112000009112E-006</v>
      </c>
      <c r="C46" s="2" t="s">
        <v>84</v>
      </c>
      <c r="D46" s="2" t="s">
        <v>85</v>
      </c>
    </row>
    <row r="47" customFormat="false" ht="15" hidden="false" customHeight="false" outlineLevel="0" collapsed="false">
      <c r="A47" s="2" t="s">
        <v>86</v>
      </c>
      <c r="B47" s="10" t="n">
        <f aca="false">(B44-B41)/B41</f>
        <v>-0.000103710720000006</v>
      </c>
      <c r="C47" s="2" t="s">
        <v>84</v>
      </c>
      <c r="D47" s="2"/>
    </row>
    <row r="48" customFormat="false" ht="15" hidden="false" customHeight="false" outlineLevel="0" collapsed="false">
      <c r="A48" s="2" t="s">
        <v>87</v>
      </c>
      <c r="B48" s="10" t="n">
        <f aca="false">(B45-B42)/B42</f>
        <v>-0.000102657643774007</v>
      </c>
      <c r="C48" s="2" t="s">
        <v>84</v>
      </c>
      <c r="D4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9" min="10" style="0" width="11"/>
    <col collapsed="false" customWidth="true" hidden="false" outlineLevel="0" max="20" min="20" style="0" width="10"/>
    <col collapsed="false" customWidth="true" hidden="false" outlineLevel="0" max="21" min="21" style="0" width="9"/>
    <col collapsed="false" customWidth="true" hidden="false" outlineLevel="0" max="22" min="22" style="0" width="11"/>
    <col collapsed="false" customWidth="true" hidden="false" outlineLevel="0" max="37" min="23" style="0" width="10"/>
    <col collapsed="false" customWidth="true" hidden="false" outlineLevel="0" max="38" min="38" style="0" width="11"/>
    <col collapsed="false" customWidth="true" hidden="false" outlineLevel="0" max="39" min="39" style="0" width="13"/>
    <col collapsed="false" customWidth="true" hidden="false" outlineLevel="0" max="42" min="40" style="0" width="11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true" outlineLevel="0" collapsed="false">
      <c r="A4" s="11" t="s">
        <v>90</v>
      </c>
      <c r="B4" s="11"/>
      <c r="C4" s="11"/>
      <c r="D4" s="11"/>
      <c r="E4" s="11"/>
      <c r="F4" s="12" t="s">
        <v>91</v>
      </c>
      <c r="G4" s="12"/>
      <c r="H4" s="12"/>
      <c r="I4" s="12"/>
      <c r="J4" s="13" t="s">
        <v>92</v>
      </c>
      <c r="K4" s="13"/>
      <c r="L4" s="13"/>
      <c r="M4" s="14" t="s">
        <v>93</v>
      </c>
      <c r="N4" s="14"/>
      <c r="O4" s="14"/>
      <c r="P4" s="15" t="s">
        <v>94</v>
      </c>
      <c r="Q4" s="15"/>
      <c r="R4" s="15"/>
      <c r="S4" s="15" t="s">
        <v>95</v>
      </c>
      <c r="T4" s="15"/>
      <c r="U4" s="15"/>
      <c r="V4" s="15"/>
      <c r="W4" s="15" t="s">
        <v>96</v>
      </c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 t="s">
        <v>97</v>
      </c>
      <c r="AM4" s="15"/>
      <c r="AN4" s="15" t="s">
        <v>98</v>
      </c>
      <c r="AO4" s="15"/>
      <c r="AP4" s="15"/>
    </row>
    <row r="6" customFormat="false" ht="43.5" hidden="false" customHeight="true" outlineLevel="0" collapsed="false">
      <c r="A6" s="16" t="s">
        <v>99</v>
      </c>
      <c r="B6" s="16" t="s">
        <v>100</v>
      </c>
      <c r="C6" s="16" t="s">
        <v>101</v>
      </c>
      <c r="D6" s="16" t="s">
        <v>102</v>
      </c>
      <c r="E6" s="16" t="s">
        <v>103</v>
      </c>
      <c r="F6" s="17" t="s">
        <v>104</v>
      </c>
      <c r="G6" s="17" t="s">
        <v>105</v>
      </c>
      <c r="H6" s="17" t="s">
        <v>106</v>
      </c>
      <c r="I6" s="17" t="s">
        <v>107</v>
      </c>
      <c r="J6" s="18" t="s">
        <v>108</v>
      </c>
      <c r="K6" s="18" t="s">
        <v>109</v>
      </c>
      <c r="L6" s="18" t="s">
        <v>110</v>
      </c>
      <c r="M6" s="19" t="s">
        <v>111</v>
      </c>
      <c r="N6" s="19" t="s">
        <v>112</v>
      </c>
      <c r="O6" s="19" t="s">
        <v>113</v>
      </c>
      <c r="P6" s="20" t="s">
        <v>114</v>
      </c>
      <c r="Q6" s="20" t="s">
        <v>115</v>
      </c>
      <c r="R6" s="20" t="s">
        <v>116</v>
      </c>
      <c r="S6" s="20" t="s">
        <v>117</v>
      </c>
      <c r="T6" s="20" t="s">
        <v>118</v>
      </c>
      <c r="U6" s="20" t="s">
        <v>119</v>
      </c>
      <c r="V6" s="20" t="s">
        <v>120</v>
      </c>
      <c r="W6" s="20" t="s">
        <v>121</v>
      </c>
      <c r="X6" s="20" t="s">
        <v>122</v>
      </c>
      <c r="Y6" s="20" t="s">
        <v>123</v>
      </c>
      <c r="Z6" s="20" t="s">
        <v>124</v>
      </c>
      <c r="AA6" s="20" t="s">
        <v>125</v>
      </c>
      <c r="AB6" s="20" t="s">
        <v>126</v>
      </c>
      <c r="AC6" s="20" t="s">
        <v>127</v>
      </c>
      <c r="AD6" s="20" t="s">
        <v>128</v>
      </c>
      <c r="AE6" s="20" t="s">
        <v>129</v>
      </c>
      <c r="AF6" s="20" t="s">
        <v>130</v>
      </c>
      <c r="AG6" s="20" t="s">
        <v>131</v>
      </c>
      <c r="AH6" s="20" t="s">
        <v>132</v>
      </c>
      <c r="AI6" s="20" t="s">
        <v>133</v>
      </c>
      <c r="AJ6" s="20" t="s">
        <v>134</v>
      </c>
      <c r="AK6" s="20" t="s">
        <v>135</v>
      </c>
      <c r="AL6" s="20" t="s">
        <v>136</v>
      </c>
      <c r="AM6" s="20" t="s">
        <v>137</v>
      </c>
      <c r="AN6" s="20" t="s">
        <v>138</v>
      </c>
      <c r="AO6" s="20" t="s">
        <v>139</v>
      </c>
      <c r="AP6" s="20" t="s">
        <v>140</v>
      </c>
    </row>
    <row r="7" customFormat="false" ht="15" hidden="false" customHeight="false" outlineLevel="0" collapsed="false">
      <c r="A7" s="21" t="n">
        <v>1</v>
      </c>
      <c r="B7" s="22" t="s">
        <v>141</v>
      </c>
      <c r="C7" s="23" t="n">
        <v>14</v>
      </c>
      <c r="D7" s="24" t="n">
        <v>5</v>
      </c>
      <c r="E7" s="23" t="n">
        <v>0.8</v>
      </c>
      <c r="F7" s="23" t="n">
        <v>14.02</v>
      </c>
      <c r="G7" s="25" t="n">
        <v>178.6</v>
      </c>
      <c r="H7" s="25" t="n">
        <v>205</v>
      </c>
      <c r="I7" s="25" t="n">
        <v>500</v>
      </c>
      <c r="J7" s="23" t="n">
        <v>14.06</v>
      </c>
      <c r="K7" s="25" t="n">
        <v>351</v>
      </c>
      <c r="L7" s="25" t="n">
        <v>3950</v>
      </c>
      <c r="M7" s="23" t="n">
        <v>14.06</v>
      </c>
      <c r="N7" s="25" t="n">
        <v>351</v>
      </c>
      <c r="O7" s="24" t="n">
        <v>3.95</v>
      </c>
      <c r="P7" s="26" t="n">
        <f aca="false">IF(C7="","",C7)</f>
        <v>14</v>
      </c>
      <c r="Q7" s="27" t="n">
        <f aca="false">IF(OR(C7="",D7="",C7=0),"",D7/C7*1000)</f>
        <v>357.142857142857</v>
      </c>
      <c r="R7" s="27" t="n">
        <f aca="false">IF(OR(D7="",E7=""),"",D7*E7*1000)</f>
        <v>4000</v>
      </c>
      <c r="S7" s="27" t="n">
        <f aca="false">IF(G7="","",G7/Setup!$B$14)</f>
        <v>357.2</v>
      </c>
      <c r="T7" s="27" t="n">
        <f aca="false">IF(OR(H7="",I7=""),"",360*I7*H7/1000000)</f>
        <v>36.9</v>
      </c>
      <c r="U7" s="26" t="n">
        <f aca="false">IF(T7="","",COS(RADIANS(T7)))</f>
        <v>0.799684658487091</v>
      </c>
      <c r="V7" s="27" t="n">
        <f aca="false">IF(OR(F7="",S7="",U7=""),"",F7*S7*U7)</f>
        <v>4004.77598736247</v>
      </c>
      <c r="W7" s="28" t="n">
        <f aca="false">IF(OR(J7="",F7=""),"",IF(F7=0,"",(J7-F7)/F7))</f>
        <v>0.00285306704707567</v>
      </c>
      <c r="X7" s="28" t="n">
        <f aca="false">IF(OR(K7="",S7=""),"",IF(S7=0,"",(K7-S7)/S7))</f>
        <v>-0.0173572228443449</v>
      </c>
      <c r="Y7" s="28" t="n">
        <f aca="false">IF(OR(L7="",V7=""),"",IF(V7=0,"",(L7-V7)/V7))</f>
        <v>-0.0136776657509249</v>
      </c>
      <c r="Z7" s="28" t="n">
        <f aca="false">IF(OR(J7="",P7=""),"",IF(P7=0,"",(J7-P7)/P7))</f>
        <v>0.00428571428571432</v>
      </c>
      <c r="AA7" s="28" t="n">
        <f aca="false">IF(OR(K7="",Q7=""),"",IF(Q7=0,"",(K7-Q7)/Q7))</f>
        <v>-0.0172000000000001</v>
      </c>
      <c r="AB7" s="28" t="n">
        <f aca="false">IF(OR(L7="",R7=""),"",IF(R7=0,"",(L7-R7)/R7))</f>
        <v>-0.0125</v>
      </c>
      <c r="AC7" s="28" t="n">
        <f aca="false">IF(OR(M7="",F7=""),"",IF(F7=0,"",(M7-F7)/F7))</f>
        <v>0.00285306704707567</v>
      </c>
      <c r="AD7" s="28" t="n">
        <f aca="false">IF(OR(N7="",S7=""),"",IF(S7=0,"",(N7-S7)/S7))</f>
        <v>-0.0173572228443449</v>
      </c>
      <c r="AE7" s="28" t="n">
        <f aca="false">IF(OR(O7="",V7=""),"",IF(V7=0,"",(O7*1000-V7)/V7))</f>
        <v>-0.0136776657509249</v>
      </c>
      <c r="AF7" s="28" t="n">
        <f aca="false">IF(OR(M7="",P7=""),"",IF(P7=0,"",(M7-P7)/P7))</f>
        <v>0.00428571428571432</v>
      </c>
      <c r="AG7" s="28" t="n">
        <f aca="false">IF(OR(N7="",Q7=""),"",IF(Q7=0,"",(N7-Q7)/Q7))</f>
        <v>-0.0172000000000001</v>
      </c>
      <c r="AH7" s="28" t="n">
        <f aca="false">IF(OR(O7="",R7=""),"",IF(R7=0,"",(O7*1000-R7)/R7))</f>
        <v>-0.0125</v>
      </c>
      <c r="AI7" s="28" t="n">
        <f aca="false">IF(OR(F7="",P7=""),"",IF(P7=0,"",(F7-P7)/P7))</f>
        <v>0.0014285714285714</v>
      </c>
      <c r="AJ7" s="28" t="n">
        <f aca="false">IF(OR(S7="",Q7=""),"",IF(Q7=0,"",(S7-Q7)/Q7))</f>
        <v>0.0001599999999999</v>
      </c>
      <c r="AK7" s="28" t="n">
        <f aca="false">IF(OR(V7="",R7=""),"",IF(R7=0,"",(V7-R7)/R7))</f>
        <v>0.00119399684061852</v>
      </c>
      <c r="AL7" s="29" t="str">
        <f aca="false">IF(OR(J7="",K7="",L7="",M7="",N7="",O7=""),"",IF(AND(ABS(J7-M7)&lt;=Setup!$B$20,ABS(K7-N7)&lt;=Setup!$B$21,ABS(L7-O7*1000)&lt;=Setup!$B$22),"OK","CHECK"))</f>
        <v>OK</v>
      </c>
      <c r="AM7" s="29" t="str">
        <f aca="false">IF(OR(J7="",K7="",L7="",F7="",S7="",V7=""),"",IF(AND(ABS(J7-F7)/Setup!$B$17&lt;=Setup!$B$16/100,ABS(K7-S7)/Setup!$B$18&lt;=Setup!$B$16/100,ABS(L7-V7)/Setup!$B$19&lt;=Setup!$B$16/100),"PASS","FAIL"))</f>
        <v>PASS</v>
      </c>
      <c r="AN7" s="26" t="n">
        <f aca="false">IF(OR(F7="",J7="",J7=0),"",F7/J7)</f>
        <v>0.997155049786629</v>
      </c>
      <c r="AO7" s="26" t="n">
        <f aca="false">IF(OR(S7="",K7="",K7=0),"",S7/K7)</f>
        <v>1.01766381766382</v>
      </c>
      <c r="AP7" s="26" t="n">
        <f aca="false">IF(OR(V7="",L7="",L7=0),"",V7/L7)</f>
        <v>1.01386733857278</v>
      </c>
    </row>
    <row r="8" customFormat="false" ht="15" hidden="false" customHeight="false" outlineLevel="0" collapsed="false">
      <c r="A8" s="21" t="n">
        <v>2</v>
      </c>
      <c r="B8" s="22"/>
      <c r="C8" s="23"/>
      <c r="D8" s="24"/>
      <c r="E8" s="23"/>
      <c r="F8" s="23"/>
      <c r="G8" s="25"/>
      <c r="H8" s="25"/>
      <c r="I8" s="25"/>
      <c r="J8" s="23"/>
      <c r="K8" s="25"/>
      <c r="L8" s="25"/>
      <c r="M8" s="23"/>
      <c r="N8" s="25"/>
      <c r="O8" s="24"/>
      <c r="P8" s="26" t="str">
        <f aca="false">IF(C8="","",C8)</f>
        <v/>
      </c>
      <c r="Q8" s="27" t="str">
        <f aca="false">IF(OR(C8="",D8="",C8=0),"",D8/C8*1000)</f>
        <v/>
      </c>
      <c r="R8" s="27" t="str">
        <f aca="false">IF(OR(D8="",E8=""),"",D8*E8*1000)</f>
        <v/>
      </c>
      <c r="S8" s="27" t="str">
        <f aca="false">IF(G8="","",G8/Setup!$B$14)</f>
        <v/>
      </c>
      <c r="T8" s="27" t="str">
        <f aca="false">IF(OR(H8="",I8=""),"",360*I8*H8/1000000)</f>
        <v/>
      </c>
      <c r="U8" s="26" t="str">
        <f aca="false">IF(T8="","",COS(RADIANS(T8)))</f>
        <v/>
      </c>
      <c r="V8" s="27" t="str">
        <f aca="false">IF(OR(F8="",S8="",U8=""),"",F8*S8*U8)</f>
        <v/>
      </c>
      <c r="W8" s="28" t="str">
        <f aca="false">IF(OR(J8="",F8=""),"",IF(F8=0,"",(J8-F8)/F8))</f>
        <v/>
      </c>
      <c r="X8" s="28" t="str">
        <f aca="false">IF(OR(K8="",S8=""),"",IF(S8=0,"",(K8-S8)/S8))</f>
        <v/>
      </c>
      <c r="Y8" s="28" t="str">
        <f aca="false">IF(OR(L8="",V8=""),"",IF(V8=0,"",(L8-V8)/V8))</f>
        <v/>
      </c>
      <c r="Z8" s="28" t="str">
        <f aca="false">IF(OR(J8="",P8=""),"",IF(P8=0,"",(J8-P8)/P8))</f>
        <v/>
      </c>
      <c r="AA8" s="28" t="str">
        <f aca="false">IF(OR(K8="",Q8=""),"",IF(Q8=0,"",(K8-Q8)/Q8))</f>
        <v/>
      </c>
      <c r="AB8" s="28" t="str">
        <f aca="false">IF(OR(L8="",R8=""),"",IF(R8=0,"",(L8-R8)/R8))</f>
        <v/>
      </c>
      <c r="AC8" s="28" t="str">
        <f aca="false">IF(OR(M8="",F8=""),"",IF(F8=0,"",(M8-F8)/F8))</f>
        <v/>
      </c>
      <c r="AD8" s="28" t="str">
        <f aca="false">IF(OR(N8="",S8=""),"",IF(S8=0,"",(N8-S8)/S8))</f>
        <v/>
      </c>
      <c r="AE8" s="28" t="str">
        <f aca="false">IF(OR(O8="",V8=""),"",IF(V8=0,"",(O8*1000-V8)/V8))</f>
        <v/>
      </c>
      <c r="AF8" s="28" t="str">
        <f aca="false">IF(OR(M8="",P8=""),"",IF(P8=0,"",(M8-P8)/P8))</f>
        <v/>
      </c>
      <c r="AG8" s="28" t="str">
        <f aca="false">IF(OR(N8="",Q8=""),"",IF(Q8=0,"",(N8-Q8)/Q8))</f>
        <v/>
      </c>
      <c r="AH8" s="28" t="str">
        <f aca="false">IF(OR(O8="",R8=""),"",IF(R8=0,"",(O8*1000-R8)/R8))</f>
        <v/>
      </c>
      <c r="AI8" s="28" t="str">
        <f aca="false">IF(OR(F8="",P8=""),"",IF(P8=0,"",(F8-P8)/P8))</f>
        <v/>
      </c>
      <c r="AJ8" s="28" t="str">
        <f aca="false">IF(OR(S8="",Q8=""),"",IF(Q8=0,"",(S8-Q8)/Q8))</f>
        <v/>
      </c>
      <c r="AK8" s="28" t="str">
        <f aca="false">IF(OR(V8="",R8=""),"",IF(R8=0,"",(V8-R8)/R8))</f>
        <v/>
      </c>
      <c r="AL8" s="29" t="str">
        <f aca="false">IF(OR(J8="",K8="",L8="",M8="",N8="",O8=""),"",IF(AND(ABS(J8-M8)&lt;=Setup!$B$20,ABS(K8-N8)&lt;=Setup!$B$21,ABS(L8-O8*1000)&lt;=Setup!$B$22),"OK","CHECK"))</f>
        <v/>
      </c>
      <c r="AM8" s="29" t="str">
        <f aca="false">IF(OR(J8="",K8="",L8="",F8="",S8="",V8=""),"",IF(AND(ABS(J8-F8)/Setup!$B$17&lt;=Setup!$B$16/100,ABS(K8-S8)/Setup!$B$18&lt;=Setup!$B$16/100,ABS(L8-V8)/Setup!$B$19&lt;=Setup!$B$16/100),"PASS","FAIL"))</f>
        <v/>
      </c>
      <c r="AN8" s="26" t="str">
        <f aca="false">IF(OR(F8="",J8="",J8=0),"",F8/J8)</f>
        <v/>
      </c>
      <c r="AO8" s="26" t="str">
        <f aca="false">IF(OR(S8="",K8="",K8=0),"",S8/K8)</f>
        <v/>
      </c>
      <c r="AP8" s="26" t="str">
        <f aca="false">IF(OR(V8="",L8="",L8=0),"",V8/L8)</f>
        <v/>
      </c>
    </row>
    <row r="9" customFormat="false" ht="15" hidden="false" customHeight="false" outlineLevel="0" collapsed="false">
      <c r="A9" s="21" t="n">
        <v>3</v>
      </c>
      <c r="B9" s="22"/>
      <c r="C9" s="23"/>
      <c r="D9" s="24"/>
      <c r="E9" s="23"/>
      <c r="F9" s="23"/>
      <c r="G9" s="25"/>
      <c r="H9" s="25"/>
      <c r="I9" s="25"/>
      <c r="J9" s="23"/>
      <c r="K9" s="25"/>
      <c r="L9" s="25"/>
      <c r="M9" s="23"/>
      <c r="N9" s="25"/>
      <c r="O9" s="24"/>
      <c r="P9" s="26" t="str">
        <f aca="false">IF(C9="","",C9)</f>
        <v/>
      </c>
      <c r="Q9" s="27" t="str">
        <f aca="false">IF(OR(C9="",D9="",C9=0),"",D9/C9*1000)</f>
        <v/>
      </c>
      <c r="R9" s="27" t="str">
        <f aca="false">IF(OR(D9="",E9=""),"",D9*E9*1000)</f>
        <v/>
      </c>
      <c r="S9" s="27" t="str">
        <f aca="false">IF(G9="","",G9/Setup!$B$14)</f>
        <v/>
      </c>
      <c r="T9" s="27" t="str">
        <f aca="false">IF(OR(H9="",I9=""),"",360*I9*H9/1000000)</f>
        <v/>
      </c>
      <c r="U9" s="26" t="str">
        <f aca="false">IF(T9="","",COS(RADIANS(T9)))</f>
        <v/>
      </c>
      <c r="V9" s="27" t="str">
        <f aca="false">IF(OR(F9="",S9="",U9=""),"",F9*S9*U9)</f>
        <v/>
      </c>
      <c r="W9" s="28" t="str">
        <f aca="false">IF(OR(J9="",F9=""),"",IF(F9=0,"",(J9-F9)/F9))</f>
        <v/>
      </c>
      <c r="X9" s="28" t="str">
        <f aca="false">IF(OR(K9="",S9=""),"",IF(S9=0,"",(K9-S9)/S9))</f>
        <v/>
      </c>
      <c r="Y9" s="28" t="str">
        <f aca="false">IF(OR(L9="",V9=""),"",IF(V9=0,"",(L9-V9)/V9))</f>
        <v/>
      </c>
      <c r="Z9" s="28" t="str">
        <f aca="false">IF(OR(J9="",P9=""),"",IF(P9=0,"",(J9-P9)/P9))</f>
        <v/>
      </c>
      <c r="AA9" s="28" t="str">
        <f aca="false">IF(OR(K9="",Q9=""),"",IF(Q9=0,"",(K9-Q9)/Q9))</f>
        <v/>
      </c>
      <c r="AB9" s="28" t="str">
        <f aca="false">IF(OR(L9="",R9=""),"",IF(R9=0,"",(L9-R9)/R9))</f>
        <v/>
      </c>
      <c r="AC9" s="28" t="str">
        <f aca="false">IF(OR(M9="",F9=""),"",IF(F9=0,"",(M9-F9)/F9))</f>
        <v/>
      </c>
      <c r="AD9" s="28" t="str">
        <f aca="false">IF(OR(N9="",S9=""),"",IF(S9=0,"",(N9-S9)/S9))</f>
        <v/>
      </c>
      <c r="AE9" s="28" t="str">
        <f aca="false">IF(OR(O9="",V9=""),"",IF(V9=0,"",(O9*1000-V9)/V9))</f>
        <v/>
      </c>
      <c r="AF9" s="28" t="str">
        <f aca="false">IF(OR(M9="",P9=""),"",IF(P9=0,"",(M9-P9)/P9))</f>
        <v/>
      </c>
      <c r="AG9" s="28" t="str">
        <f aca="false">IF(OR(N9="",Q9=""),"",IF(Q9=0,"",(N9-Q9)/Q9))</f>
        <v/>
      </c>
      <c r="AH9" s="28" t="str">
        <f aca="false">IF(OR(O9="",R9=""),"",IF(R9=0,"",(O9*1000-R9)/R9))</f>
        <v/>
      </c>
      <c r="AI9" s="28" t="str">
        <f aca="false">IF(OR(F9="",P9=""),"",IF(P9=0,"",(F9-P9)/P9))</f>
        <v/>
      </c>
      <c r="AJ9" s="28" t="str">
        <f aca="false">IF(OR(S9="",Q9=""),"",IF(Q9=0,"",(S9-Q9)/Q9))</f>
        <v/>
      </c>
      <c r="AK9" s="28" t="str">
        <f aca="false">IF(OR(V9="",R9=""),"",IF(R9=0,"",(V9-R9)/R9))</f>
        <v/>
      </c>
      <c r="AL9" s="29" t="str">
        <f aca="false">IF(OR(J9="",K9="",L9="",M9="",N9="",O9=""),"",IF(AND(ABS(J9-M9)&lt;=Setup!$B$20,ABS(K9-N9)&lt;=Setup!$B$21,ABS(L9-O9*1000)&lt;=Setup!$B$22),"OK","CHECK"))</f>
        <v/>
      </c>
      <c r="AM9" s="29" t="str">
        <f aca="false">IF(OR(J9="",K9="",L9="",F9="",S9="",V9=""),"",IF(AND(ABS(J9-F9)/Setup!$B$17&lt;=Setup!$B$16/100,ABS(K9-S9)/Setup!$B$18&lt;=Setup!$B$16/100,ABS(L9-V9)/Setup!$B$19&lt;=Setup!$B$16/100),"PASS","FAIL"))</f>
        <v/>
      </c>
      <c r="AN9" s="26" t="str">
        <f aca="false">IF(OR(F9="",J9="",J9=0),"",F9/J9)</f>
        <v/>
      </c>
      <c r="AO9" s="26" t="str">
        <f aca="false">IF(OR(S9="",K9="",K9=0),"",S9/K9)</f>
        <v/>
      </c>
      <c r="AP9" s="26" t="str">
        <f aca="false">IF(OR(V9="",L9="",L9=0),"",V9/L9)</f>
        <v/>
      </c>
    </row>
    <row r="10" customFormat="false" ht="15" hidden="false" customHeight="false" outlineLevel="0" collapsed="false">
      <c r="A10" s="21" t="n">
        <v>4</v>
      </c>
      <c r="B10" s="22"/>
      <c r="C10" s="23"/>
      <c r="D10" s="24"/>
      <c r="E10" s="23"/>
      <c r="F10" s="23"/>
      <c r="G10" s="25"/>
      <c r="H10" s="25"/>
      <c r="I10" s="25"/>
      <c r="J10" s="23"/>
      <c r="K10" s="25"/>
      <c r="L10" s="25"/>
      <c r="M10" s="23"/>
      <c r="N10" s="25"/>
      <c r="O10" s="24"/>
      <c r="P10" s="26" t="str">
        <f aca="false">IF(C10="","",C10)</f>
        <v/>
      </c>
      <c r="Q10" s="27" t="str">
        <f aca="false">IF(OR(C10="",D10="",C10=0),"",D10/C10*1000)</f>
        <v/>
      </c>
      <c r="R10" s="27" t="str">
        <f aca="false">IF(OR(D10="",E10=""),"",D10*E10*1000)</f>
        <v/>
      </c>
      <c r="S10" s="27" t="str">
        <f aca="false">IF(G10="","",G10/Setup!$B$14)</f>
        <v/>
      </c>
      <c r="T10" s="27" t="str">
        <f aca="false">IF(OR(H10="",I10=""),"",360*I10*H10/1000000)</f>
        <v/>
      </c>
      <c r="U10" s="26" t="str">
        <f aca="false">IF(T10="","",COS(RADIANS(T10)))</f>
        <v/>
      </c>
      <c r="V10" s="27" t="str">
        <f aca="false">IF(OR(F10="",S10="",U10=""),"",F10*S10*U10)</f>
        <v/>
      </c>
      <c r="W10" s="28" t="str">
        <f aca="false">IF(OR(J10="",F10=""),"",IF(F10=0,"",(J10-F10)/F10))</f>
        <v/>
      </c>
      <c r="X10" s="28" t="str">
        <f aca="false">IF(OR(K10="",S10=""),"",IF(S10=0,"",(K10-S10)/S10))</f>
        <v/>
      </c>
      <c r="Y10" s="28" t="str">
        <f aca="false">IF(OR(L10="",V10=""),"",IF(V10=0,"",(L10-V10)/V10))</f>
        <v/>
      </c>
      <c r="Z10" s="28" t="str">
        <f aca="false">IF(OR(J10="",P10=""),"",IF(P10=0,"",(J10-P10)/P10))</f>
        <v/>
      </c>
      <c r="AA10" s="28" t="str">
        <f aca="false">IF(OR(K10="",Q10=""),"",IF(Q10=0,"",(K10-Q10)/Q10))</f>
        <v/>
      </c>
      <c r="AB10" s="28" t="str">
        <f aca="false">IF(OR(L10="",R10=""),"",IF(R10=0,"",(L10-R10)/R10))</f>
        <v/>
      </c>
      <c r="AC10" s="28" t="str">
        <f aca="false">IF(OR(M10="",F10=""),"",IF(F10=0,"",(M10-F10)/F10))</f>
        <v/>
      </c>
      <c r="AD10" s="28" t="str">
        <f aca="false">IF(OR(N10="",S10=""),"",IF(S10=0,"",(N10-S10)/S10))</f>
        <v/>
      </c>
      <c r="AE10" s="28" t="str">
        <f aca="false">IF(OR(O10="",V10=""),"",IF(V10=0,"",(O10*1000-V10)/V10))</f>
        <v/>
      </c>
      <c r="AF10" s="28" t="str">
        <f aca="false">IF(OR(M10="",P10=""),"",IF(P10=0,"",(M10-P10)/P10))</f>
        <v/>
      </c>
      <c r="AG10" s="28" t="str">
        <f aca="false">IF(OR(N10="",Q10=""),"",IF(Q10=0,"",(N10-Q10)/Q10))</f>
        <v/>
      </c>
      <c r="AH10" s="28" t="str">
        <f aca="false">IF(OR(O10="",R10=""),"",IF(R10=0,"",(O10*1000-R10)/R10))</f>
        <v/>
      </c>
      <c r="AI10" s="28" t="str">
        <f aca="false">IF(OR(F10="",P10=""),"",IF(P10=0,"",(F10-P10)/P10))</f>
        <v/>
      </c>
      <c r="AJ10" s="28" t="str">
        <f aca="false">IF(OR(S10="",Q10=""),"",IF(Q10=0,"",(S10-Q10)/Q10))</f>
        <v/>
      </c>
      <c r="AK10" s="28" t="str">
        <f aca="false">IF(OR(V10="",R10=""),"",IF(R10=0,"",(V10-R10)/R10))</f>
        <v/>
      </c>
      <c r="AL10" s="29" t="str">
        <f aca="false">IF(OR(J10="",K10="",L10="",M10="",N10="",O10=""),"",IF(AND(ABS(J10-M10)&lt;=Setup!$B$20,ABS(K10-N10)&lt;=Setup!$B$21,ABS(L10-O10*1000)&lt;=Setup!$B$22),"OK","CHECK"))</f>
        <v/>
      </c>
      <c r="AM10" s="29" t="str">
        <f aca="false">IF(OR(J10="",K10="",L10="",F10="",S10="",V10=""),"",IF(AND(ABS(J10-F10)/Setup!$B$17&lt;=Setup!$B$16/100,ABS(K10-S10)/Setup!$B$18&lt;=Setup!$B$16/100,ABS(L10-V10)/Setup!$B$19&lt;=Setup!$B$16/100),"PASS","FAIL"))</f>
        <v/>
      </c>
      <c r="AN10" s="26" t="str">
        <f aca="false">IF(OR(F10="",J10="",J10=0),"",F10/J10)</f>
        <v/>
      </c>
      <c r="AO10" s="26" t="str">
        <f aca="false">IF(OR(S10="",K10="",K10=0),"",S10/K10)</f>
        <v/>
      </c>
      <c r="AP10" s="26" t="str">
        <f aca="false">IF(OR(V10="",L10="",L10=0),"",V10/L10)</f>
        <v/>
      </c>
    </row>
    <row r="11" customFormat="false" ht="15" hidden="false" customHeight="false" outlineLevel="0" collapsed="false">
      <c r="A11" s="21" t="n">
        <v>5</v>
      </c>
      <c r="B11" s="22"/>
      <c r="C11" s="23"/>
      <c r="D11" s="24"/>
      <c r="E11" s="23"/>
      <c r="F11" s="23"/>
      <c r="G11" s="25"/>
      <c r="H11" s="25"/>
      <c r="I11" s="25"/>
      <c r="J11" s="23"/>
      <c r="K11" s="25"/>
      <c r="L11" s="25"/>
      <c r="M11" s="23"/>
      <c r="N11" s="25"/>
      <c r="O11" s="24"/>
      <c r="P11" s="26" t="str">
        <f aca="false">IF(C11="","",C11)</f>
        <v/>
      </c>
      <c r="Q11" s="27" t="str">
        <f aca="false">IF(OR(C11="",D11="",C11=0),"",D11/C11*1000)</f>
        <v/>
      </c>
      <c r="R11" s="27" t="str">
        <f aca="false">IF(OR(D11="",E11=""),"",D11*E11*1000)</f>
        <v/>
      </c>
      <c r="S11" s="27" t="str">
        <f aca="false">IF(G11="","",G11/Setup!$B$14)</f>
        <v/>
      </c>
      <c r="T11" s="27" t="str">
        <f aca="false">IF(OR(H11="",I11=""),"",360*I11*H11/1000000)</f>
        <v/>
      </c>
      <c r="U11" s="26" t="str">
        <f aca="false">IF(T11="","",COS(RADIANS(T11)))</f>
        <v/>
      </c>
      <c r="V11" s="27" t="str">
        <f aca="false">IF(OR(F11="",S11="",U11=""),"",F11*S11*U11)</f>
        <v/>
      </c>
      <c r="W11" s="28" t="str">
        <f aca="false">IF(OR(J11="",F11=""),"",IF(F11=0,"",(J11-F11)/F11))</f>
        <v/>
      </c>
      <c r="X11" s="28" t="str">
        <f aca="false">IF(OR(K11="",S11=""),"",IF(S11=0,"",(K11-S11)/S11))</f>
        <v/>
      </c>
      <c r="Y11" s="28" t="str">
        <f aca="false">IF(OR(L11="",V11=""),"",IF(V11=0,"",(L11-V11)/V11))</f>
        <v/>
      </c>
      <c r="Z11" s="28" t="str">
        <f aca="false">IF(OR(J11="",P11=""),"",IF(P11=0,"",(J11-P11)/P11))</f>
        <v/>
      </c>
      <c r="AA11" s="28" t="str">
        <f aca="false">IF(OR(K11="",Q11=""),"",IF(Q11=0,"",(K11-Q11)/Q11))</f>
        <v/>
      </c>
      <c r="AB11" s="28" t="str">
        <f aca="false">IF(OR(L11="",R11=""),"",IF(R11=0,"",(L11-R11)/R11))</f>
        <v/>
      </c>
      <c r="AC11" s="28" t="str">
        <f aca="false">IF(OR(M11="",F11=""),"",IF(F11=0,"",(M11-F11)/F11))</f>
        <v/>
      </c>
      <c r="AD11" s="28" t="str">
        <f aca="false">IF(OR(N11="",S11=""),"",IF(S11=0,"",(N11-S11)/S11))</f>
        <v/>
      </c>
      <c r="AE11" s="28" t="str">
        <f aca="false">IF(OR(O11="",V11=""),"",IF(V11=0,"",(O11*1000-V11)/V11))</f>
        <v/>
      </c>
      <c r="AF11" s="28" t="str">
        <f aca="false">IF(OR(M11="",P11=""),"",IF(P11=0,"",(M11-P11)/P11))</f>
        <v/>
      </c>
      <c r="AG11" s="28" t="str">
        <f aca="false">IF(OR(N11="",Q11=""),"",IF(Q11=0,"",(N11-Q11)/Q11))</f>
        <v/>
      </c>
      <c r="AH11" s="28" t="str">
        <f aca="false">IF(OR(O11="",R11=""),"",IF(R11=0,"",(O11*1000-R11)/R11))</f>
        <v/>
      </c>
      <c r="AI11" s="28" t="str">
        <f aca="false">IF(OR(F11="",P11=""),"",IF(P11=0,"",(F11-P11)/P11))</f>
        <v/>
      </c>
      <c r="AJ11" s="28" t="str">
        <f aca="false">IF(OR(S11="",Q11=""),"",IF(Q11=0,"",(S11-Q11)/Q11))</f>
        <v/>
      </c>
      <c r="AK11" s="28" t="str">
        <f aca="false">IF(OR(V11="",R11=""),"",IF(R11=0,"",(V11-R11)/R11))</f>
        <v/>
      </c>
      <c r="AL11" s="29" t="str">
        <f aca="false">IF(OR(J11="",K11="",L11="",M11="",N11="",O11=""),"",IF(AND(ABS(J11-M11)&lt;=Setup!$B$20,ABS(K11-N11)&lt;=Setup!$B$21,ABS(L11-O11*1000)&lt;=Setup!$B$22),"OK","CHECK"))</f>
        <v/>
      </c>
      <c r="AM11" s="29" t="str">
        <f aca="false">IF(OR(J11="",K11="",L11="",F11="",S11="",V11=""),"",IF(AND(ABS(J11-F11)/Setup!$B$17&lt;=Setup!$B$16/100,ABS(K11-S11)/Setup!$B$18&lt;=Setup!$B$16/100,ABS(L11-V11)/Setup!$B$19&lt;=Setup!$B$16/100),"PASS","FAIL"))</f>
        <v/>
      </c>
      <c r="AN11" s="26" t="str">
        <f aca="false">IF(OR(F11="",J11="",J11=0),"",F11/J11)</f>
        <v/>
      </c>
      <c r="AO11" s="26" t="str">
        <f aca="false">IF(OR(S11="",K11="",K11=0),"",S11/K11)</f>
        <v/>
      </c>
      <c r="AP11" s="26" t="str">
        <f aca="false">IF(OR(V11="",L11="",L11=0),"",V11/L11)</f>
        <v/>
      </c>
    </row>
    <row r="12" customFormat="false" ht="15" hidden="false" customHeight="false" outlineLevel="0" collapsed="false">
      <c r="A12" s="21" t="n">
        <v>6</v>
      </c>
      <c r="B12" s="22"/>
      <c r="C12" s="23"/>
      <c r="D12" s="24"/>
      <c r="E12" s="23"/>
      <c r="F12" s="23"/>
      <c r="G12" s="25"/>
      <c r="H12" s="25"/>
      <c r="I12" s="25"/>
      <c r="J12" s="23"/>
      <c r="K12" s="25"/>
      <c r="L12" s="25"/>
      <c r="M12" s="23"/>
      <c r="N12" s="25"/>
      <c r="O12" s="24"/>
      <c r="P12" s="26" t="str">
        <f aca="false">IF(C12="","",C12)</f>
        <v/>
      </c>
      <c r="Q12" s="27" t="str">
        <f aca="false">IF(OR(C12="",D12="",C12=0),"",D12/C12*1000)</f>
        <v/>
      </c>
      <c r="R12" s="27" t="str">
        <f aca="false">IF(OR(D12="",E12=""),"",D12*E12*1000)</f>
        <v/>
      </c>
      <c r="S12" s="27" t="str">
        <f aca="false">IF(G12="","",G12/Setup!$B$14)</f>
        <v/>
      </c>
      <c r="T12" s="27" t="str">
        <f aca="false">IF(OR(H12="",I12=""),"",360*I12*H12/1000000)</f>
        <v/>
      </c>
      <c r="U12" s="26" t="str">
        <f aca="false">IF(T12="","",COS(RADIANS(T12)))</f>
        <v/>
      </c>
      <c r="V12" s="27" t="str">
        <f aca="false">IF(OR(F12="",S12="",U12=""),"",F12*S12*U12)</f>
        <v/>
      </c>
      <c r="W12" s="28" t="str">
        <f aca="false">IF(OR(J12="",F12=""),"",IF(F12=0,"",(J12-F12)/F12))</f>
        <v/>
      </c>
      <c r="X12" s="28" t="str">
        <f aca="false">IF(OR(K12="",S12=""),"",IF(S12=0,"",(K12-S12)/S12))</f>
        <v/>
      </c>
      <c r="Y12" s="28" t="str">
        <f aca="false">IF(OR(L12="",V12=""),"",IF(V12=0,"",(L12-V12)/V12))</f>
        <v/>
      </c>
      <c r="Z12" s="28" t="str">
        <f aca="false">IF(OR(J12="",P12=""),"",IF(P12=0,"",(J12-P12)/P12))</f>
        <v/>
      </c>
      <c r="AA12" s="28" t="str">
        <f aca="false">IF(OR(K12="",Q12=""),"",IF(Q12=0,"",(K12-Q12)/Q12))</f>
        <v/>
      </c>
      <c r="AB12" s="28" t="str">
        <f aca="false">IF(OR(L12="",R12=""),"",IF(R12=0,"",(L12-R12)/R12))</f>
        <v/>
      </c>
      <c r="AC12" s="28" t="str">
        <f aca="false">IF(OR(M12="",F12=""),"",IF(F12=0,"",(M12-F12)/F12))</f>
        <v/>
      </c>
      <c r="AD12" s="28" t="str">
        <f aca="false">IF(OR(N12="",S12=""),"",IF(S12=0,"",(N12-S12)/S12))</f>
        <v/>
      </c>
      <c r="AE12" s="28" t="str">
        <f aca="false">IF(OR(O12="",V12=""),"",IF(V12=0,"",(O12*1000-V12)/V12))</f>
        <v/>
      </c>
      <c r="AF12" s="28" t="str">
        <f aca="false">IF(OR(M12="",P12=""),"",IF(P12=0,"",(M12-P12)/P12))</f>
        <v/>
      </c>
      <c r="AG12" s="28" t="str">
        <f aca="false">IF(OR(N12="",Q12=""),"",IF(Q12=0,"",(N12-Q12)/Q12))</f>
        <v/>
      </c>
      <c r="AH12" s="28" t="str">
        <f aca="false">IF(OR(O12="",R12=""),"",IF(R12=0,"",(O12*1000-R12)/R12))</f>
        <v/>
      </c>
      <c r="AI12" s="28" t="str">
        <f aca="false">IF(OR(F12="",P12=""),"",IF(P12=0,"",(F12-P12)/P12))</f>
        <v/>
      </c>
      <c r="AJ12" s="28" t="str">
        <f aca="false">IF(OR(S12="",Q12=""),"",IF(Q12=0,"",(S12-Q12)/Q12))</f>
        <v/>
      </c>
      <c r="AK12" s="28" t="str">
        <f aca="false">IF(OR(V12="",R12=""),"",IF(R12=0,"",(V12-R12)/R12))</f>
        <v/>
      </c>
      <c r="AL12" s="29" t="str">
        <f aca="false">IF(OR(J12="",K12="",L12="",M12="",N12="",O12=""),"",IF(AND(ABS(J12-M12)&lt;=Setup!$B$20,ABS(K12-N12)&lt;=Setup!$B$21,ABS(L12-O12*1000)&lt;=Setup!$B$22),"OK","CHECK"))</f>
        <v/>
      </c>
      <c r="AM12" s="29" t="str">
        <f aca="false">IF(OR(J12="",K12="",L12="",F12="",S12="",V12=""),"",IF(AND(ABS(J12-F12)/Setup!$B$17&lt;=Setup!$B$16/100,ABS(K12-S12)/Setup!$B$18&lt;=Setup!$B$16/100,ABS(L12-V12)/Setup!$B$19&lt;=Setup!$B$16/100),"PASS","FAIL"))</f>
        <v/>
      </c>
      <c r="AN12" s="26" t="str">
        <f aca="false">IF(OR(F12="",J12="",J12=0),"",F12/J12)</f>
        <v/>
      </c>
      <c r="AO12" s="26" t="str">
        <f aca="false">IF(OR(S12="",K12="",K12=0),"",S12/K12)</f>
        <v/>
      </c>
      <c r="AP12" s="26" t="str">
        <f aca="false">IF(OR(V12="",L12="",L12=0),"",V12/L12)</f>
        <v/>
      </c>
    </row>
    <row r="13" customFormat="false" ht="15" hidden="false" customHeight="false" outlineLevel="0" collapsed="false">
      <c r="A13" s="21" t="n">
        <v>7</v>
      </c>
      <c r="B13" s="22"/>
      <c r="C13" s="23"/>
      <c r="D13" s="24"/>
      <c r="E13" s="23"/>
      <c r="F13" s="23"/>
      <c r="G13" s="25"/>
      <c r="H13" s="25"/>
      <c r="I13" s="25"/>
      <c r="J13" s="23"/>
      <c r="K13" s="25"/>
      <c r="L13" s="25"/>
      <c r="M13" s="23"/>
      <c r="N13" s="25"/>
      <c r="O13" s="24"/>
      <c r="P13" s="26" t="str">
        <f aca="false">IF(C13="","",C13)</f>
        <v/>
      </c>
      <c r="Q13" s="27" t="str">
        <f aca="false">IF(OR(C13="",D13="",C13=0),"",D13/C13*1000)</f>
        <v/>
      </c>
      <c r="R13" s="27" t="str">
        <f aca="false">IF(OR(D13="",E13=""),"",D13*E13*1000)</f>
        <v/>
      </c>
      <c r="S13" s="27" t="str">
        <f aca="false">IF(G13="","",G13/Setup!$B$14)</f>
        <v/>
      </c>
      <c r="T13" s="27" t="str">
        <f aca="false">IF(OR(H13="",I13=""),"",360*I13*H13/1000000)</f>
        <v/>
      </c>
      <c r="U13" s="26" t="str">
        <f aca="false">IF(T13="","",COS(RADIANS(T13)))</f>
        <v/>
      </c>
      <c r="V13" s="27" t="str">
        <f aca="false">IF(OR(F13="",S13="",U13=""),"",F13*S13*U13)</f>
        <v/>
      </c>
      <c r="W13" s="28" t="str">
        <f aca="false">IF(OR(J13="",F13=""),"",IF(F13=0,"",(J13-F13)/F13))</f>
        <v/>
      </c>
      <c r="X13" s="28" t="str">
        <f aca="false">IF(OR(K13="",S13=""),"",IF(S13=0,"",(K13-S13)/S13))</f>
        <v/>
      </c>
      <c r="Y13" s="28" t="str">
        <f aca="false">IF(OR(L13="",V13=""),"",IF(V13=0,"",(L13-V13)/V13))</f>
        <v/>
      </c>
      <c r="Z13" s="28" t="str">
        <f aca="false">IF(OR(J13="",P13=""),"",IF(P13=0,"",(J13-P13)/P13))</f>
        <v/>
      </c>
      <c r="AA13" s="28" t="str">
        <f aca="false">IF(OR(K13="",Q13=""),"",IF(Q13=0,"",(K13-Q13)/Q13))</f>
        <v/>
      </c>
      <c r="AB13" s="28" t="str">
        <f aca="false">IF(OR(L13="",R13=""),"",IF(R13=0,"",(L13-R13)/R13))</f>
        <v/>
      </c>
      <c r="AC13" s="28" t="str">
        <f aca="false">IF(OR(M13="",F13=""),"",IF(F13=0,"",(M13-F13)/F13))</f>
        <v/>
      </c>
      <c r="AD13" s="28" t="str">
        <f aca="false">IF(OR(N13="",S13=""),"",IF(S13=0,"",(N13-S13)/S13))</f>
        <v/>
      </c>
      <c r="AE13" s="28" t="str">
        <f aca="false">IF(OR(O13="",V13=""),"",IF(V13=0,"",(O13*1000-V13)/V13))</f>
        <v/>
      </c>
      <c r="AF13" s="28" t="str">
        <f aca="false">IF(OR(M13="",P13=""),"",IF(P13=0,"",(M13-P13)/P13))</f>
        <v/>
      </c>
      <c r="AG13" s="28" t="str">
        <f aca="false">IF(OR(N13="",Q13=""),"",IF(Q13=0,"",(N13-Q13)/Q13))</f>
        <v/>
      </c>
      <c r="AH13" s="28" t="str">
        <f aca="false">IF(OR(O13="",R13=""),"",IF(R13=0,"",(O13*1000-R13)/R13))</f>
        <v/>
      </c>
      <c r="AI13" s="28" t="str">
        <f aca="false">IF(OR(F13="",P13=""),"",IF(P13=0,"",(F13-P13)/P13))</f>
        <v/>
      </c>
      <c r="AJ13" s="28" t="str">
        <f aca="false">IF(OR(S13="",Q13=""),"",IF(Q13=0,"",(S13-Q13)/Q13))</f>
        <v/>
      </c>
      <c r="AK13" s="28" t="str">
        <f aca="false">IF(OR(V13="",R13=""),"",IF(R13=0,"",(V13-R13)/R13))</f>
        <v/>
      </c>
      <c r="AL13" s="29" t="str">
        <f aca="false">IF(OR(J13="",K13="",L13="",M13="",N13="",O13=""),"",IF(AND(ABS(J13-M13)&lt;=Setup!$B$20,ABS(K13-N13)&lt;=Setup!$B$21,ABS(L13-O13*1000)&lt;=Setup!$B$22),"OK","CHECK"))</f>
        <v/>
      </c>
      <c r="AM13" s="29" t="str">
        <f aca="false">IF(OR(J13="",K13="",L13="",F13="",S13="",V13=""),"",IF(AND(ABS(J13-F13)/Setup!$B$17&lt;=Setup!$B$16/100,ABS(K13-S13)/Setup!$B$18&lt;=Setup!$B$16/100,ABS(L13-V13)/Setup!$B$19&lt;=Setup!$B$16/100),"PASS","FAIL"))</f>
        <v/>
      </c>
      <c r="AN13" s="26" t="str">
        <f aca="false">IF(OR(F13="",J13="",J13=0),"",F13/J13)</f>
        <v/>
      </c>
      <c r="AO13" s="26" t="str">
        <f aca="false">IF(OR(S13="",K13="",K13=0),"",S13/K13)</f>
        <v/>
      </c>
      <c r="AP13" s="26" t="str">
        <f aca="false">IF(OR(V13="",L13="",L13=0),"",V13/L13)</f>
        <v/>
      </c>
    </row>
    <row r="14" customFormat="false" ht="15" hidden="false" customHeight="false" outlineLevel="0" collapsed="false">
      <c r="A14" s="21" t="n">
        <v>8</v>
      </c>
      <c r="B14" s="22"/>
      <c r="C14" s="23"/>
      <c r="D14" s="24"/>
      <c r="E14" s="23"/>
      <c r="F14" s="23"/>
      <c r="G14" s="25"/>
      <c r="H14" s="25"/>
      <c r="I14" s="25"/>
      <c r="J14" s="23"/>
      <c r="K14" s="25"/>
      <c r="L14" s="25"/>
      <c r="M14" s="23"/>
      <c r="N14" s="25"/>
      <c r="O14" s="24"/>
      <c r="P14" s="26" t="str">
        <f aca="false">IF(C14="","",C14)</f>
        <v/>
      </c>
      <c r="Q14" s="27" t="str">
        <f aca="false">IF(OR(C14="",D14="",C14=0),"",D14/C14*1000)</f>
        <v/>
      </c>
      <c r="R14" s="27" t="str">
        <f aca="false">IF(OR(D14="",E14=""),"",D14*E14*1000)</f>
        <v/>
      </c>
      <c r="S14" s="27" t="str">
        <f aca="false">IF(G14="","",G14/Setup!$B$14)</f>
        <v/>
      </c>
      <c r="T14" s="27" t="str">
        <f aca="false">IF(OR(H14="",I14=""),"",360*I14*H14/1000000)</f>
        <v/>
      </c>
      <c r="U14" s="26" t="str">
        <f aca="false">IF(T14="","",COS(RADIANS(T14)))</f>
        <v/>
      </c>
      <c r="V14" s="27" t="str">
        <f aca="false">IF(OR(F14="",S14="",U14=""),"",F14*S14*U14)</f>
        <v/>
      </c>
      <c r="W14" s="28" t="str">
        <f aca="false">IF(OR(J14="",F14=""),"",IF(F14=0,"",(J14-F14)/F14))</f>
        <v/>
      </c>
      <c r="X14" s="28" t="str">
        <f aca="false">IF(OR(K14="",S14=""),"",IF(S14=0,"",(K14-S14)/S14))</f>
        <v/>
      </c>
      <c r="Y14" s="28" t="str">
        <f aca="false">IF(OR(L14="",V14=""),"",IF(V14=0,"",(L14-V14)/V14))</f>
        <v/>
      </c>
      <c r="Z14" s="28" t="str">
        <f aca="false">IF(OR(J14="",P14=""),"",IF(P14=0,"",(J14-P14)/P14))</f>
        <v/>
      </c>
      <c r="AA14" s="28" t="str">
        <f aca="false">IF(OR(K14="",Q14=""),"",IF(Q14=0,"",(K14-Q14)/Q14))</f>
        <v/>
      </c>
      <c r="AB14" s="28" t="str">
        <f aca="false">IF(OR(L14="",R14=""),"",IF(R14=0,"",(L14-R14)/R14))</f>
        <v/>
      </c>
      <c r="AC14" s="28" t="str">
        <f aca="false">IF(OR(M14="",F14=""),"",IF(F14=0,"",(M14-F14)/F14))</f>
        <v/>
      </c>
      <c r="AD14" s="28" t="str">
        <f aca="false">IF(OR(N14="",S14=""),"",IF(S14=0,"",(N14-S14)/S14))</f>
        <v/>
      </c>
      <c r="AE14" s="28" t="str">
        <f aca="false">IF(OR(O14="",V14=""),"",IF(V14=0,"",(O14*1000-V14)/V14))</f>
        <v/>
      </c>
      <c r="AF14" s="28" t="str">
        <f aca="false">IF(OR(M14="",P14=""),"",IF(P14=0,"",(M14-P14)/P14))</f>
        <v/>
      </c>
      <c r="AG14" s="28" t="str">
        <f aca="false">IF(OR(N14="",Q14=""),"",IF(Q14=0,"",(N14-Q14)/Q14))</f>
        <v/>
      </c>
      <c r="AH14" s="28" t="str">
        <f aca="false">IF(OR(O14="",R14=""),"",IF(R14=0,"",(O14*1000-R14)/R14))</f>
        <v/>
      </c>
      <c r="AI14" s="28" t="str">
        <f aca="false">IF(OR(F14="",P14=""),"",IF(P14=0,"",(F14-P14)/P14))</f>
        <v/>
      </c>
      <c r="AJ14" s="28" t="str">
        <f aca="false">IF(OR(S14="",Q14=""),"",IF(Q14=0,"",(S14-Q14)/Q14))</f>
        <v/>
      </c>
      <c r="AK14" s="28" t="str">
        <f aca="false">IF(OR(V14="",R14=""),"",IF(R14=0,"",(V14-R14)/R14))</f>
        <v/>
      </c>
      <c r="AL14" s="29" t="str">
        <f aca="false">IF(OR(J14="",K14="",L14="",M14="",N14="",O14=""),"",IF(AND(ABS(J14-M14)&lt;=Setup!$B$20,ABS(K14-N14)&lt;=Setup!$B$21,ABS(L14-O14*1000)&lt;=Setup!$B$22),"OK","CHECK"))</f>
        <v/>
      </c>
      <c r="AM14" s="29" t="str">
        <f aca="false">IF(OR(J14="",K14="",L14="",F14="",S14="",V14=""),"",IF(AND(ABS(J14-F14)/Setup!$B$17&lt;=Setup!$B$16/100,ABS(K14-S14)/Setup!$B$18&lt;=Setup!$B$16/100,ABS(L14-V14)/Setup!$B$19&lt;=Setup!$B$16/100),"PASS","FAIL"))</f>
        <v/>
      </c>
      <c r="AN14" s="26" t="str">
        <f aca="false">IF(OR(F14="",J14="",J14=0),"",F14/J14)</f>
        <v/>
      </c>
      <c r="AO14" s="26" t="str">
        <f aca="false">IF(OR(S14="",K14="",K14=0),"",S14/K14)</f>
        <v/>
      </c>
      <c r="AP14" s="26" t="str">
        <f aca="false">IF(OR(V14="",L14="",L14=0),"",V14/L14)</f>
        <v/>
      </c>
    </row>
    <row r="15" customFormat="false" ht="15" hidden="false" customHeight="false" outlineLevel="0" collapsed="false">
      <c r="A15" s="21" t="n">
        <v>9</v>
      </c>
      <c r="B15" s="22"/>
      <c r="C15" s="23"/>
      <c r="D15" s="24"/>
      <c r="E15" s="23"/>
      <c r="F15" s="23"/>
      <c r="G15" s="25"/>
      <c r="H15" s="25"/>
      <c r="I15" s="25"/>
      <c r="J15" s="23"/>
      <c r="K15" s="25"/>
      <c r="L15" s="25"/>
      <c r="M15" s="23"/>
      <c r="N15" s="25"/>
      <c r="O15" s="24"/>
      <c r="P15" s="26" t="str">
        <f aca="false">IF(C15="","",C15)</f>
        <v/>
      </c>
      <c r="Q15" s="27" t="str">
        <f aca="false">IF(OR(C15="",D15="",C15=0),"",D15/C15*1000)</f>
        <v/>
      </c>
      <c r="R15" s="27" t="str">
        <f aca="false">IF(OR(D15="",E15=""),"",D15*E15*1000)</f>
        <v/>
      </c>
      <c r="S15" s="27" t="str">
        <f aca="false">IF(G15="","",G15/Setup!$B$14)</f>
        <v/>
      </c>
      <c r="T15" s="27" t="str">
        <f aca="false">IF(OR(H15="",I15=""),"",360*I15*H15/1000000)</f>
        <v/>
      </c>
      <c r="U15" s="26" t="str">
        <f aca="false">IF(T15="","",COS(RADIANS(T15)))</f>
        <v/>
      </c>
      <c r="V15" s="27" t="str">
        <f aca="false">IF(OR(F15="",S15="",U15=""),"",F15*S15*U15)</f>
        <v/>
      </c>
      <c r="W15" s="28" t="str">
        <f aca="false">IF(OR(J15="",F15=""),"",IF(F15=0,"",(J15-F15)/F15))</f>
        <v/>
      </c>
      <c r="X15" s="28" t="str">
        <f aca="false">IF(OR(K15="",S15=""),"",IF(S15=0,"",(K15-S15)/S15))</f>
        <v/>
      </c>
      <c r="Y15" s="28" t="str">
        <f aca="false">IF(OR(L15="",V15=""),"",IF(V15=0,"",(L15-V15)/V15))</f>
        <v/>
      </c>
      <c r="Z15" s="28" t="str">
        <f aca="false">IF(OR(J15="",P15=""),"",IF(P15=0,"",(J15-P15)/P15))</f>
        <v/>
      </c>
      <c r="AA15" s="28" t="str">
        <f aca="false">IF(OR(K15="",Q15=""),"",IF(Q15=0,"",(K15-Q15)/Q15))</f>
        <v/>
      </c>
      <c r="AB15" s="28" t="str">
        <f aca="false">IF(OR(L15="",R15=""),"",IF(R15=0,"",(L15-R15)/R15))</f>
        <v/>
      </c>
      <c r="AC15" s="28" t="str">
        <f aca="false">IF(OR(M15="",F15=""),"",IF(F15=0,"",(M15-F15)/F15))</f>
        <v/>
      </c>
      <c r="AD15" s="28" t="str">
        <f aca="false">IF(OR(N15="",S15=""),"",IF(S15=0,"",(N15-S15)/S15))</f>
        <v/>
      </c>
      <c r="AE15" s="28" t="str">
        <f aca="false">IF(OR(O15="",V15=""),"",IF(V15=0,"",(O15*1000-V15)/V15))</f>
        <v/>
      </c>
      <c r="AF15" s="28" t="str">
        <f aca="false">IF(OR(M15="",P15=""),"",IF(P15=0,"",(M15-P15)/P15))</f>
        <v/>
      </c>
      <c r="AG15" s="28" t="str">
        <f aca="false">IF(OR(N15="",Q15=""),"",IF(Q15=0,"",(N15-Q15)/Q15))</f>
        <v/>
      </c>
      <c r="AH15" s="28" t="str">
        <f aca="false">IF(OR(O15="",R15=""),"",IF(R15=0,"",(O15*1000-R15)/R15))</f>
        <v/>
      </c>
      <c r="AI15" s="28" t="str">
        <f aca="false">IF(OR(F15="",P15=""),"",IF(P15=0,"",(F15-P15)/P15))</f>
        <v/>
      </c>
      <c r="AJ15" s="28" t="str">
        <f aca="false">IF(OR(S15="",Q15=""),"",IF(Q15=0,"",(S15-Q15)/Q15))</f>
        <v/>
      </c>
      <c r="AK15" s="28" t="str">
        <f aca="false">IF(OR(V15="",R15=""),"",IF(R15=0,"",(V15-R15)/R15))</f>
        <v/>
      </c>
      <c r="AL15" s="29" t="str">
        <f aca="false">IF(OR(J15="",K15="",L15="",M15="",N15="",O15=""),"",IF(AND(ABS(J15-M15)&lt;=Setup!$B$20,ABS(K15-N15)&lt;=Setup!$B$21,ABS(L15-O15*1000)&lt;=Setup!$B$22),"OK","CHECK"))</f>
        <v/>
      </c>
      <c r="AM15" s="29" t="str">
        <f aca="false">IF(OR(J15="",K15="",L15="",F15="",S15="",V15=""),"",IF(AND(ABS(J15-F15)/Setup!$B$17&lt;=Setup!$B$16/100,ABS(K15-S15)/Setup!$B$18&lt;=Setup!$B$16/100,ABS(L15-V15)/Setup!$B$19&lt;=Setup!$B$16/100),"PASS","FAIL"))</f>
        <v/>
      </c>
      <c r="AN15" s="26" t="str">
        <f aca="false">IF(OR(F15="",J15="",J15=0),"",F15/J15)</f>
        <v/>
      </c>
      <c r="AO15" s="26" t="str">
        <f aca="false">IF(OR(S15="",K15="",K15=0),"",S15/K15)</f>
        <v/>
      </c>
      <c r="AP15" s="26" t="str">
        <f aca="false">IF(OR(V15="",L15="",L15=0),"",V15/L15)</f>
        <v/>
      </c>
    </row>
    <row r="16" customFormat="false" ht="15" hidden="false" customHeight="false" outlineLevel="0" collapsed="false">
      <c r="A16" s="21" t="n">
        <v>10</v>
      </c>
      <c r="B16" s="22"/>
      <c r="C16" s="23"/>
      <c r="D16" s="24"/>
      <c r="E16" s="23"/>
      <c r="F16" s="23"/>
      <c r="G16" s="25"/>
      <c r="H16" s="25"/>
      <c r="I16" s="25"/>
      <c r="J16" s="23"/>
      <c r="K16" s="25"/>
      <c r="L16" s="25"/>
      <c r="M16" s="23"/>
      <c r="N16" s="25"/>
      <c r="O16" s="24"/>
      <c r="P16" s="26" t="str">
        <f aca="false">IF(C16="","",C16)</f>
        <v/>
      </c>
      <c r="Q16" s="27" t="str">
        <f aca="false">IF(OR(C16="",D16="",C16=0),"",D16/C16*1000)</f>
        <v/>
      </c>
      <c r="R16" s="27" t="str">
        <f aca="false">IF(OR(D16="",E16=""),"",D16*E16*1000)</f>
        <v/>
      </c>
      <c r="S16" s="27" t="str">
        <f aca="false">IF(G16="","",G16/Setup!$B$14)</f>
        <v/>
      </c>
      <c r="T16" s="27" t="str">
        <f aca="false">IF(OR(H16="",I16=""),"",360*I16*H16/1000000)</f>
        <v/>
      </c>
      <c r="U16" s="26" t="str">
        <f aca="false">IF(T16="","",COS(RADIANS(T16)))</f>
        <v/>
      </c>
      <c r="V16" s="27" t="str">
        <f aca="false">IF(OR(F16="",S16="",U16=""),"",F16*S16*U16)</f>
        <v/>
      </c>
      <c r="W16" s="28" t="str">
        <f aca="false">IF(OR(J16="",F16=""),"",IF(F16=0,"",(J16-F16)/F16))</f>
        <v/>
      </c>
      <c r="X16" s="28" t="str">
        <f aca="false">IF(OR(K16="",S16=""),"",IF(S16=0,"",(K16-S16)/S16))</f>
        <v/>
      </c>
      <c r="Y16" s="28" t="str">
        <f aca="false">IF(OR(L16="",V16=""),"",IF(V16=0,"",(L16-V16)/V16))</f>
        <v/>
      </c>
      <c r="Z16" s="28" t="str">
        <f aca="false">IF(OR(J16="",P16=""),"",IF(P16=0,"",(J16-P16)/P16))</f>
        <v/>
      </c>
      <c r="AA16" s="28" t="str">
        <f aca="false">IF(OR(K16="",Q16=""),"",IF(Q16=0,"",(K16-Q16)/Q16))</f>
        <v/>
      </c>
      <c r="AB16" s="28" t="str">
        <f aca="false">IF(OR(L16="",R16=""),"",IF(R16=0,"",(L16-R16)/R16))</f>
        <v/>
      </c>
      <c r="AC16" s="28" t="str">
        <f aca="false">IF(OR(M16="",F16=""),"",IF(F16=0,"",(M16-F16)/F16))</f>
        <v/>
      </c>
      <c r="AD16" s="28" t="str">
        <f aca="false">IF(OR(N16="",S16=""),"",IF(S16=0,"",(N16-S16)/S16))</f>
        <v/>
      </c>
      <c r="AE16" s="28" t="str">
        <f aca="false">IF(OR(O16="",V16=""),"",IF(V16=0,"",(O16*1000-V16)/V16))</f>
        <v/>
      </c>
      <c r="AF16" s="28" t="str">
        <f aca="false">IF(OR(M16="",P16=""),"",IF(P16=0,"",(M16-P16)/P16))</f>
        <v/>
      </c>
      <c r="AG16" s="28" t="str">
        <f aca="false">IF(OR(N16="",Q16=""),"",IF(Q16=0,"",(N16-Q16)/Q16))</f>
        <v/>
      </c>
      <c r="AH16" s="28" t="str">
        <f aca="false">IF(OR(O16="",R16=""),"",IF(R16=0,"",(O16*1000-R16)/R16))</f>
        <v/>
      </c>
      <c r="AI16" s="28" t="str">
        <f aca="false">IF(OR(F16="",P16=""),"",IF(P16=0,"",(F16-P16)/P16))</f>
        <v/>
      </c>
      <c r="AJ16" s="28" t="str">
        <f aca="false">IF(OR(S16="",Q16=""),"",IF(Q16=0,"",(S16-Q16)/Q16))</f>
        <v/>
      </c>
      <c r="AK16" s="28" t="str">
        <f aca="false">IF(OR(V16="",R16=""),"",IF(R16=0,"",(V16-R16)/R16))</f>
        <v/>
      </c>
      <c r="AL16" s="29" t="str">
        <f aca="false">IF(OR(J16="",K16="",L16="",M16="",N16="",O16=""),"",IF(AND(ABS(J16-M16)&lt;=Setup!$B$20,ABS(K16-N16)&lt;=Setup!$B$21,ABS(L16-O16*1000)&lt;=Setup!$B$22),"OK","CHECK"))</f>
        <v/>
      </c>
      <c r="AM16" s="29" t="str">
        <f aca="false">IF(OR(J16="",K16="",L16="",F16="",S16="",V16=""),"",IF(AND(ABS(J16-F16)/Setup!$B$17&lt;=Setup!$B$16/100,ABS(K16-S16)/Setup!$B$18&lt;=Setup!$B$16/100,ABS(L16-V16)/Setup!$B$19&lt;=Setup!$B$16/100),"PASS","FAIL"))</f>
        <v/>
      </c>
      <c r="AN16" s="26" t="str">
        <f aca="false">IF(OR(F16="",J16="",J16=0),"",F16/J16)</f>
        <v/>
      </c>
      <c r="AO16" s="26" t="str">
        <f aca="false">IF(OR(S16="",K16="",K16=0),"",S16/K16)</f>
        <v/>
      </c>
      <c r="AP16" s="26" t="str">
        <f aca="false">IF(OR(V16="",L16="",L16=0),"",V16/L16)</f>
        <v/>
      </c>
    </row>
    <row r="17" customFormat="false" ht="15" hidden="false" customHeight="false" outlineLevel="0" collapsed="false">
      <c r="A17" s="21" t="n">
        <v>11</v>
      </c>
      <c r="B17" s="22"/>
      <c r="C17" s="23"/>
      <c r="D17" s="24"/>
      <c r="E17" s="23"/>
      <c r="F17" s="23"/>
      <c r="G17" s="25"/>
      <c r="H17" s="25"/>
      <c r="I17" s="25"/>
      <c r="J17" s="23"/>
      <c r="K17" s="25"/>
      <c r="L17" s="25"/>
      <c r="M17" s="23"/>
      <c r="N17" s="25"/>
      <c r="O17" s="24"/>
      <c r="P17" s="26" t="str">
        <f aca="false">IF(C17="","",C17)</f>
        <v/>
      </c>
      <c r="Q17" s="27" t="str">
        <f aca="false">IF(OR(C17="",D17="",C17=0),"",D17/C17*1000)</f>
        <v/>
      </c>
      <c r="R17" s="27" t="str">
        <f aca="false">IF(OR(D17="",E17=""),"",D17*E17*1000)</f>
        <v/>
      </c>
      <c r="S17" s="27" t="str">
        <f aca="false">IF(G17="","",G17/Setup!$B$14)</f>
        <v/>
      </c>
      <c r="T17" s="27" t="str">
        <f aca="false">IF(OR(H17="",I17=""),"",360*I17*H17/1000000)</f>
        <v/>
      </c>
      <c r="U17" s="26" t="str">
        <f aca="false">IF(T17="","",COS(RADIANS(T17)))</f>
        <v/>
      </c>
      <c r="V17" s="27" t="str">
        <f aca="false">IF(OR(F17="",S17="",U17=""),"",F17*S17*U17)</f>
        <v/>
      </c>
      <c r="W17" s="28" t="str">
        <f aca="false">IF(OR(J17="",F17=""),"",IF(F17=0,"",(J17-F17)/F17))</f>
        <v/>
      </c>
      <c r="X17" s="28" t="str">
        <f aca="false">IF(OR(K17="",S17=""),"",IF(S17=0,"",(K17-S17)/S17))</f>
        <v/>
      </c>
      <c r="Y17" s="28" t="str">
        <f aca="false">IF(OR(L17="",V17=""),"",IF(V17=0,"",(L17-V17)/V17))</f>
        <v/>
      </c>
      <c r="Z17" s="28" t="str">
        <f aca="false">IF(OR(J17="",P17=""),"",IF(P17=0,"",(J17-P17)/P17))</f>
        <v/>
      </c>
      <c r="AA17" s="28" t="str">
        <f aca="false">IF(OR(K17="",Q17=""),"",IF(Q17=0,"",(K17-Q17)/Q17))</f>
        <v/>
      </c>
      <c r="AB17" s="28" t="str">
        <f aca="false">IF(OR(L17="",R17=""),"",IF(R17=0,"",(L17-R17)/R17))</f>
        <v/>
      </c>
      <c r="AC17" s="28" t="str">
        <f aca="false">IF(OR(M17="",F17=""),"",IF(F17=0,"",(M17-F17)/F17))</f>
        <v/>
      </c>
      <c r="AD17" s="28" t="str">
        <f aca="false">IF(OR(N17="",S17=""),"",IF(S17=0,"",(N17-S17)/S17))</f>
        <v/>
      </c>
      <c r="AE17" s="28" t="str">
        <f aca="false">IF(OR(O17="",V17=""),"",IF(V17=0,"",(O17*1000-V17)/V17))</f>
        <v/>
      </c>
      <c r="AF17" s="28" t="str">
        <f aca="false">IF(OR(M17="",P17=""),"",IF(P17=0,"",(M17-P17)/P17))</f>
        <v/>
      </c>
      <c r="AG17" s="28" t="str">
        <f aca="false">IF(OR(N17="",Q17=""),"",IF(Q17=0,"",(N17-Q17)/Q17))</f>
        <v/>
      </c>
      <c r="AH17" s="28" t="str">
        <f aca="false">IF(OR(O17="",R17=""),"",IF(R17=0,"",(O17*1000-R17)/R17))</f>
        <v/>
      </c>
      <c r="AI17" s="28" t="str">
        <f aca="false">IF(OR(F17="",P17=""),"",IF(P17=0,"",(F17-P17)/P17))</f>
        <v/>
      </c>
      <c r="AJ17" s="28" t="str">
        <f aca="false">IF(OR(S17="",Q17=""),"",IF(Q17=0,"",(S17-Q17)/Q17))</f>
        <v/>
      </c>
      <c r="AK17" s="28" t="str">
        <f aca="false">IF(OR(V17="",R17=""),"",IF(R17=0,"",(V17-R17)/R17))</f>
        <v/>
      </c>
      <c r="AL17" s="29" t="str">
        <f aca="false">IF(OR(J17="",K17="",L17="",M17="",N17="",O17=""),"",IF(AND(ABS(J17-M17)&lt;=Setup!$B$20,ABS(K17-N17)&lt;=Setup!$B$21,ABS(L17-O17*1000)&lt;=Setup!$B$22),"OK","CHECK"))</f>
        <v/>
      </c>
      <c r="AM17" s="29" t="str">
        <f aca="false">IF(OR(J17="",K17="",L17="",F17="",S17="",V17=""),"",IF(AND(ABS(J17-F17)/Setup!$B$17&lt;=Setup!$B$16/100,ABS(K17-S17)/Setup!$B$18&lt;=Setup!$B$16/100,ABS(L17-V17)/Setup!$B$19&lt;=Setup!$B$16/100),"PASS","FAIL"))</f>
        <v/>
      </c>
      <c r="AN17" s="26" t="str">
        <f aca="false">IF(OR(F17="",J17="",J17=0),"",F17/J17)</f>
        <v/>
      </c>
      <c r="AO17" s="26" t="str">
        <f aca="false">IF(OR(S17="",K17="",K17=0),"",S17/K17)</f>
        <v/>
      </c>
      <c r="AP17" s="26" t="str">
        <f aca="false">IF(OR(V17="",L17="",L17=0),"",V17/L17)</f>
        <v/>
      </c>
    </row>
    <row r="18" customFormat="false" ht="15" hidden="false" customHeight="false" outlineLevel="0" collapsed="false">
      <c r="A18" s="21" t="n">
        <v>12</v>
      </c>
      <c r="B18" s="22"/>
      <c r="C18" s="23"/>
      <c r="D18" s="24"/>
      <c r="E18" s="23"/>
      <c r="F18" s="23"/>
      <c r="G18" s="25"/>
      <c r="H18" s="25"/>
      <c r="I18" s="25"/>
      <c r="J18" s="23"/>
      <c r="K18" s="25"/>
      <c r="L18" s="25"/>
      <c r="M18" s="23"/>
      <c r="N18" s="25"/>
      <c r="O18" s="24"/>
      <c r="P18" s="26" t="str">
        <f aca="false">IF(C18="","",C18)</f>
        <v/>
      </c>
      <c r="Q18" s="27" t="str">
        <f aca="false">IF(OR(C18="",D18="",C18=0),"",D18/C18*1000)</f>
        <v/>
      </c>
      <c r="R18" s="27" t="str">
        <f aca="false">IF(OR(D18="",E18=""),"",D18*E18*1000)</f>
        <v/>
      </c>
      <c r="S18" s="27" t="str">
        <f aca="false">IF(G18="","",G18/Setup!$B$14)</f>
        <v/>
      </c>
      <c r="T18" s="27" t="str">
        <f aca="false">IF(OR(H18="",I18=""),"",360*I18*H18/1000000)</f>
        <v/>
      </c>
      <c r="U18" s="26" t="str">
        <f aca="false">IF(T18="","",COS(RADIANS(T18)))</f>
        <v/>
      </c>
      <c r="V18" s="27" t="str">
        <f aca="false">IF(OR(F18="",S18="",U18=""),"",F18*S18*U18)</f>
        <v/>
      </c>
      <c r="W18" s="28" t="str">
        <f aca="false">IF(OR(J18="",F18=""),"",IF(F18=0,"",(J18-F18)/F18))</f>
        <v/>
      </c>
      <c r="X18" s="28" t="str">
        <f aca="false">IF(OR(K18="",S18=""),"",IF(S18=0,"",(K18-S18)/S18))</f>
        <v/>
      </c>
      <c r="Y18" s="28" t="str">
        <f aca="false">IF(OR(L18="",V18=""),"",IF(V18=0,"",(L18-V18)/V18))</f>
        <v/>
      </c>
      <c r="Z18" s="28" t="str">
        <f aca="false">IF(OR(J18="",P18=""),"",IF(P18=0,"",(J18-P18)/P18))</f>
        <v/>
      </c>
      <c r="AA18" s="28" t="str">
        <f aca="false">IF(OR(K18="",Q18=""),"",IF(Q18=0,"",(K18-Q18)/Q18))</f>
        <v/>
      </c>
      <c r="AB18" s="28" t="str">
        <f aca="false">IF(OR(L18="",R18=""),"",IF(R18=0,"",(L18-R18)/R18))</f>
        <v/>
      </c>
      <c r="AC18" s="28" t="str">
        <f aca="false">IF(OR(M18="",F18=""),"",IF(F18=0,"",(M18-F18)/F18))</f>
        <v/>
      </c>
      <c r="AD18" s="28" t="str">
        <f aca="false">IF(OR(N18="",S18=""),"",IF(S18=0,"",(N18-S18)/S18))</f>
        <v/>
      </c>
      <c r="AE18" s="28" t="str">
        <f aca="false">IF(OR(O18="",V18=""),"",IF(V18=0,"",(O18*1000-V18)/V18))</f>
        <v/>
      </c>
      <c r="AF18" s="28" t="str">
        <f aca="false">IF(OR(M18="",P18=""),"",IF(P18=0,"",(M18-P18)/P18))</f>
        <v/>
      </c>
      <c r="AG18" s="28" t="str">
        <f aca="false">IF(OR(N18="",Q18=""),"",IF(Q18=0,"",(N18-Q18)/Q18))</f>
        <v/>
      </c>
      <c r="AH18" s="28" t="str">
        <f aca="false">IF(OR(O18="",R18=""),"",IF(R18=0,"",(O18*1000-R18)/R18))</f>
        <v/>
      </c>
      <c r="AI18" s="28" t="str">
        <f aca="false">IF(OR(F18="",P18=""),"",IF(P18=0,"",(F18-P18)/P18))</f>
        <v/>
      </c>
      <c r="AJ18" s="28" t="str">
        <f aca="false">IF(OR(S18="",Q18=""),"",IF(Q18=0,"",(S18-Q18)/Q18))</f>
        <v/>
      </c>
      <c r="AK18" s="28" t="str">
        <f aca="false">IF(OR(V18="",R18=""),"",IF(R18=0,"",(V18-R18)/R18))</f>
        <v/>
      </c>
      <c r="AL18" s="29" t="str">
        <f aca="false">IF(OR(J18="",K18="",L18="",M18="",N18="",O18=""),"",IF(AND(ABS(J18-M18)&lt;=Setup!$B$20,ABS(K18-N18)&lt;=Setup!$B$21,ABS(L18-O18*1000)&lt;=Setup!$B$22),"OK","CHECK"))</f>
        <v/>
      </c>
      <c r="AM18" s="29" t="str">
        <f aca="false">IF(OR(J18="",K18="",L18="",F18="",S18="",V18=""),"",IF(AND(ABS(J18-F18)/Setup!$B$17&lt;=Setup!$B$16/100,ABS(K18-S18)/Setup!$B$18&lt;=Setup!$B$16/100,ABS(L18-V18)/Setup!$B$19&lt;=Setup!$B$16/100),"PASS","FAIL"))</f>
        <v/>
      </c>
      <c r="AN18" s="26" t="str">
        <f aca="false">IF(OR(F18="",J18="",J18=0),"",F18/J18)</f>
        <v/>
      </c>
      <c r="AO18" s="26" t="str">
        <f aca="false">IF(OR(S18="",K18="",K18=0),"",S18/K18)</f>
        <v/>
      </c>
      <c r="AP18" s="26" t="str">
        <f aca="false">IF(OR(V18="",L18="",L18=0),"",V18/L18)</f>
        <v/>
      </c>
    </row>
    <row r="19" customFormat="false" ht="15" hidden="false" customHeight="false" outlineLevel="0" collapsed="false">
      <c r="A19" s="21" t="n">
        <v>13</v>
      </c>
      <c r="B19" s="22"/>
      <c r="C19" s="23"/>
      <c r="D19" s="24"/>
      <c r="E19" s="23"/>
      <c r="F19" s="23"/>
      <c r="G19" s="25"/>
      <c r="H19" s="25"/>
      <c r="I19" s="25"/>
      <c r="J19" s="23"/>
      <c r="K19" s="25"/>
      <c r="L19" s="25"/>
      <c r="M19" s="23"/>
      <c r="N19" s="25"/>
      <c r="O19" s="24"/>
      <c r="P19" s="26" t="str">
        <f aca="false">IF(C19="","",C19)</f>
        <v/>
      </c>
      <c r="Q19" s="27" t="str">
        <f aca="false">IF(OR(C19="",D19="",C19=0),"",D19/C19*1000)</f>
        <v/>
      </c>
      <c r="R19" s="27" t="str">
        <f aca="false">IF(OR(D19="",E19=""),"",D19*E19*1000)</f>
        <v/>
      </c>
      <c r="S19" s="27" t="str">
        <f aca="false">IF(G19="","",G19/Setup!$B$14)</f>
        <v/>
      </c>
      <c r="T19" s="27" t="str">
        <f aca="false">IF(OR(H19="",I19=""),"",360*I19*H19/1000000)</f>
        <v/>
      </c>
      <c r="U19" s="26" t="str">
        <f aca="false">IF(T19="","",COS(RADIANS(T19)))</f>
        <v/>
      </c>
      <c r="V19" s="27" t="str">
        <f aca="false">IF(OR(F19="",S19="",U19=""),"",F19*S19*U19)</f>
        <v/>
      </c>
      <c r="W19" s="28" t="str">
        <f aca="false">IF(OR(J19="",F19=""),"",IF(F19=0,"",(J19-F19)/F19))</f>
        <v/>
      </c>
      <c r="X19" s="28" t="str">
        <f aca="false">IF(OR(K19="",S19=""),"",IF(S19=0,"",(K19-S19)/S19))</f>
        <v/>
      </c>
      <c r="Y19" s="28" t="str">
        <f aca="false">IF(OR(L19="",V19=""),"",IF(V19=0,"",(L19-V19)/V19))</f>
        <v/>
      </c>
      <c r="Z19" s="28" t="str">
        <f aca="false">IF(OR(J19="",P19=""),"",IF(P19=0,"",(J19-P19)/P19))</f>
        <v/>
      </c>
      <c r="AA19" s="28" t="str">
        <f aca="false">IF(OR(K19="",Q19=""),"",IF(Q19=0,"",(K19-Q19)/Q19))</f>
        <v/>
      </c>
      <c r="AB19" s="28" t="str">
        <f aca="false">IF(OR(L19="",R19=""),"",IF(R19=0,"",(L19-R19)/R19))</f>
        <v/>
      </c>
      <c r="AC19" s="28" t="str">
        <f aca="false">IF(OR(M19="",F19=""),"",IF(F19=0,"",(M19-F19)/F19))</f>
        <v/>
      </c>
      <c r="AD19" s="28" t="str">
        <f aca="false">IF(OR(N19="",S19=""),"",IF(S19=0,"",(N19-S19)/S19))</f>
        <v/>
      </c>
      <c r="AE19" s="28" t="str">
        <f aca="false">IF(OR(O19="",V19=""),"",IF(V19=0,"",(O19*1000-V19)/V19))</f>
        <v/>
      </c>
      <c r="AF19" s="28" t="str">
        <f aca="false">IF(OR(M19="",P19=""),"",IF(P19=0,"",(M19-P19)/P19))</f>
        <v/>
      </c>
      <c r="AG19" s="28" t="str">
        <f aca="false">IF(OR(N19="",Q19=""),"",IF(Q19=0,"",(N19-Q19)/Q19))</f>
        <v/>
      </c>
      <c r="AH19" s="28" t="str">
        <f aca="false">IF(OR(O19="",R19=""),"",IF(R19=0,"",(O19*1000-R19)/R19))</f>
        <v/>
      </c>
      <c r="AI19" s="28" t="str">
        <f aca="false">IF(OR(F19="",P19=""),"",IF(P19=0,"",(F19-P19)/P19))</f>
        <v/>
      </c>
      <c r="AJ19" s="28" t="str">
        <f aca="false">IF(OR(S19="",Q19=""),"",IF(Q19=0,"",(S19-Q19)/Q19))</f>
        <v/>
      </c>
      <c r="AK19" s="28" t="str">
        <f aca="false">IF(OR(V19="",R19=""),"",IF(R19=0,"",(V19-R19)/R19))</f>
        <v/>
      </c>
      <c r="AL19" s="29" t="str">
        <f aca="false">IF(OR(J19="",K19="",L19="",M19="",N19="",O19=""),"",IF(AND(ABS(J19-M19)&lt;=Setup!$B$20,ABS(K19-N19)&lt;=Setup!$B$21,ABS(L19-O19*1000)&lt;=Setup!$B$22),"OK","CHECK"))</f>
        <v/>
      </c>
      <c r="AM19" s="29" t="str">
        <f aca="false">IF(OR(J19="",K19="",L19="",F19="",S19="",V19=""),"",IF(AND(ABS(J19-F19)/Setup!$B$17&lt;=Setup!$B$16/100,ABS(K19-S19)/Setup!$B$18&lt;=Setup!$B$16/100,ABS(L19-V19)/Setup!$B$19&lt;=Setup!$B$16/100),"PASS","FAIL"))</f>
        <v/>
      </c>
      <c r="AN19" s="26" t="str">
        <f aca="false">IF(OR(F19="",J19="",J19=0),"",F19/J19)</f>
        <v/>
      </c>
      <c r="AO19" s="26" t="str">
        <f aca="false">IF(OR(S19="",K19="",K19=0),"",S19/K19)</f>
        <v/>
      </c>
      <c r="AP19" s="26" t="str">
        <f aca="false">IF(OR(V19="",L19="",L19=0),"",V19/L19)</f>
        <v/>
      </c>
    </row>
    <row r="20" customFormat="false" ht="15" hidden="false" customHeight="false" outlineLevel="0" collapsed="false">
      <c r="A20" s="21" t="n">
        <v>14</v>
      </c>
      <c r="B20" s="22"/>
      <c r="C20" s="23"/>
      <c r="D20" s="24"/>
      <c r="E20" s="23"/>
      <c r="F20" s="23"/>
      <c r="G20" s="25"/>
      <c r="H20" s="25"/>
      <c r="I20" s="25"/>
      <c r="J20" s="23"/>
      <c r="K20" s="25"/>
      <c r="L20" s="25"/>
      <c r="M20" s="23"/>
      <c r="N20" s="25"/>
      <c r="O20" s="24"/>
      <c r="P20" s="26" t="str">
        <f aca="false">IF(C20="","",C20)</f>
        <v/>
      </c>
      <c r="Q20" s="27" t="str">
        <f aca="false">IF(OR(C20="",D20="",C20=0),"",D20/C20*1000)</f>
        <v/>
      </c>
      <c r="R20" s="27" t="str">
        <f aca="false">IF(OR(D20="",E20=""),"",D20*E20*1000)</f>
        <v/>
      </c>
      <c r="S20" s="27" t="str">
        <f aca="false">IF(G20="","",G20/Setup!$B$14)</f>
        <v/>
      </c>
      <c r="T20" s="27" t="str">
        <f aca="false">IF(OR(H20="",I20=""),"",360*I20*H20/1000000)</f>
        <v/>
      </c>
      <c r="U20" s="26" t="str">
        <f aca="false">IF(T20="","",COS(RADIANS(T20)))</f>
        <v/>
      </c>
      <c r="V20" s="27" t="str">
        <f aca="false">IF(OR(F20="",S20="",U20=""),"",F20*S20*U20)</f>
        <v/>
      </c>
      <c r="W20" s="28" t="str">
        <f aca="false">IF(OR(J20="",F20=""),"",IF(F20=0,"",(J20-F20)/F20))</f>
        <v/>
      </c>
      <c r="X20" s="28" t="str">
        <f aca="false">IF(OR(K20="",S20=""),"",IF(S20=0,"",(K20-S20)/S20))</f>
        <v/>
      </c>
      <c r="Y20" s="28" t="str">
        <f aca="false">IF(OR(L20="",V20=""),"",IF(V20=0,"",(L20-V20)/V20))</f>
        <v/>
      </c>
      <c r="Z20" s="28" t="str">
        <f aca="false">IF(OR(J20="",P20=""),"",IF(P20=0,"",(J20-P20)/P20))</f>
        <v/>
      </c>
      <c r="AA20" s="28" t="str">
        <f aca="false">IF(OR(K20="",Q20=""),"",IF(Q20=0,"",(K20-Q20)/Q20))</f>
        <v/>
      </c>
      <c r="AB20" s="28" t="str">
        <f aca="false">IF(OR(L20="",R20=""),"",IF(R20=0,"",(L20-R20)/R20))</f>
        <v/>
      </c>
      <c r="AC20" s="28" t="str">
        <f aca="false">IF(OR(M20="",F20=""),"",IF(F20=0,"",(M20-F20)/F20))</f>
        <v/>
      </c>
      <c r="AD20" s="28" t="str">
        <f aca="false">IF(OR(N20="",S20=""),"",IF(S20=0,"",(N20-S20)/S20))</f>
        <v/>
      </c>
      <c r="AE20" s="28" t="str">
        <f aca="false">IF(OR(O20="",V20=""),"",IF(V20=0,"",(O20*1000-V20)/V20))</f>
        <v/>
      </c>
      <c r="AF20" s="28" t="str">
        <f aca="false">IF(OR(M20="",P20=""),"",IF(P20=0,"",(M20-P20)/P20))</f>
        <v/>
      </c>
      <c r="AG20" s="28" t="str">
        <f aca="false">IF(OR(N20="",Q20=""),"",IF(Q20=0,"",(N20-Q20)/Q20))</f>
        <v/>
      </c>
      <c r="AH20" s="28" t="str">
        <f aca="false">IF(OR(O20="",R20=""),"",IF(R20=0,"",(O20*1000-R20)/R20))</f>
        <v/>
      </c>
      <c r="AI20" s="28" t="str">
        <f aca="false">IF(OR(F20="",P20=""),"",IF(P20=0,"",(F20-P20)/P20))</f>
        <v/>
      </c>
      <c r="AJ20" s="28" t="str">
        <f aca="false">IF(OR(S20="",Q20=""),"",IF(Q20=0,"",(S20-Q20)/Q20))</f>
        <v/>
      </c>
      <c r="AK20" s="28" t="str">
        <f aca="false">IF(OR(V20="",R20=""),"",IF(R20=0,"",(V20-R20)/R20))</f>
        <v/>
      </c>
      <c r="AL20" s="29" t="str">
        <f aca="false">IF(OR(J20="",K20="",L20="",M20="",N20="",O20=""),"",IF(AND(ABS(J20-M20)&lt;=Setup!$B$20,ABS(K20-N20)&lt;=Setup!$B$21,ABS(L20-O20*1000)&lt;=Setup!$B$22),"OK","CHECK"))</f>
        <v/>
      </c>
      <c r="AM20" s="29" t="str">
        <f aca="false">IF(OR(J20="",K20="",L20="",F20="",S20="",V20=""),"",IF(AND(ABS(J20-F20)/Setup!$B$17&lt;=Setup!$B$16/100,ABS(K20-S20)/Setup!$B$18&lt;=Setup!$B$16/100,ABS(L20-V20)/Setup!$B$19&lt;=Setup!$B$16/100),"PASS","FAIL"))</f>
        <v/>
      </c>
      <c r="AN20" s="26" t="str">
        <f aca="false">IF(OR(F20="",J20="",J20=0),"",F20/J20)</f>
        <v/>
      </c>
      <c r="AO20" s="26" t="str">
        <f aca="false">IF(OR(S20="",K20="",K20=0),"",S20/K20)</f>
        <v/>
      </c>
      <c r="AP20" s="26" t="str">
        <f aca="false">IF(OR(V20="",L20="",L20=0),"",V20/L20)</f>
        <v/>
      </c>
    </row>
    <row r="21" customFormat="false" ht="15" hidden="false" customHeight="false" outlineLevel="0" collapsed="false">
      <c r="A21" s="21" t="n">
        <v>15</v>
      </c>
      <c r="B21" s="22"/>
      <c r="C21" s="23"/>
      <c r="D21" s="24"/>
      <c r="E21" s="23"/>
      <c r="F21" s="23"/>
      <c r="G21" s="25"/>
      <c r="H21" s="25"/>
      <c r="I21" s="25"/>
      <c r="J21" s="23"/>
      <c r="K21" s="25"/>
      <c r="L21" s="25"/>
      <c r="M21" s="23"/>
      <c r="N21" s="25"/>
      <c r="O21" s="24"/>
      <c r="P21" s="26" t="str">
        <f aca="false">IF(C21="","",C21)</f>
        <v/>
      </c>
      <c r="Q21" s="27" t="str">
        <f aca="false">IF(OR(C21="",D21="",C21=0),"",D21/C21*1000)</f>
        <v/>
      </c>
      <c r="R21" s="27" t="str">
        <f aca="false">IF(OR(D21="",E21=""),"",D21*E21*1000)</f>
        <v/>
      </c>
      <c r="S21" s="27" t="str">
        <f aca="false">IF(G21="","",G21/Setup!$B$14)</f>
        <v/>
      </c>
      <c r="T21" s="27" t="str">
        <f aca="false">IF(OR(H21="",I21=""),"",360*I21*H21/1000000)</f>
        <v/>
      </c>
      <c r="U21" s="26" t="str">
        <f aca="false">IF(T21="","",COS(RADIANS(T21)))</f>
        <v/>
      </c>
      <c r="V21" s="27" t="str">
        <f aca="false">IF(OR(F21="",S21="",U21=""),"",F21*S21*U21)</f>
        <v/>
      </c>
      <c r="W21" s="28" t="str">
        <f aca="false">IF(OR(J21="",F21=""),"",IF(F21=0,"",(J21-F21)/F21))</f>
        <v/>
      </c>
      <c r="X21" s="28" t="str">
        <f aca="false">IF(OR(K21="",S21=""),"",IF(S21=0,"",(K21-S21)/S21))</f>
        <v/>
      </c>
      <c r="Y21" s="28" t="str">
        <f aca="false">IF(OR(L21="",V21=""),"",IF(V21=0,"",(L21-V21)/V21))</f>
        <v/>
      </c>
      <c r="Z21" s="28" t="str">
        <f aca="false">IF(OR(J21="",P21=""),"",IF(P21=0,"",(J21-P21)/P21))</f>
        <v/>
      </c>
      <c r="AA21" s="28" t="str">
        <f aca="false">IF(OR(K21="",Q21=""),"",IF(Q21=0,"",(K21-Q21)/Q21))</f>
        <v/>
      </c>
      <c r="AB21" s="28" t="str">
        <f aca="false">IF(OR(L21="",R21=""),"",IF(R21=0,"",(L21-R21)/R21))</f>
        <v/>
      </c>
      <c r="AC21" s="28" t="str">
        <f aca="false">IF(OR(M21="",F21=""),"",IF(F21=0,"",(M21-F21)/F21))</f>
        <v/>
      </c>
      <c r="AD21" s="28" t="str">
        <f aca="false">IF(OR(N21="",S21=""),"",IF(S21=0,"",(N21-S21)/S21))</f>
        <v/>
      </c>
      <c r="AE21" s="28" t="str">
        <f aca="false">IF(OR(O21="",V21=""),"",IF(V21=0,"",(O21*1000-V21)/V21))</f>
        <v/>
      </c>
      <c r="AF21" s="28" t="str">
        <f aca="false">IF(OR(M21="",P21=""),"",IF(P21=0,"",(M21-P21)/P21))</f>
        <v/>
      </c>
      <c r="AG21" s="28" t="str">
        <f aca="false">IF(OR(N21="",Q21=""),"",IF(Q21=0,"",(N21-Q21)/Q21))</f>
        <v/>
      </c>
      <c r="AH21" s="28" t="str">
        <f aca="false">IF(OR(O21="",R21=""),"",IF(R21=0,"",(O21*1000-R21)/R21))</f>
        <v/>
      </c>
      <c r="AI21" s="28" t="str">
        <f aca="false">IF(OR(F21="",P21=""),"",IF(P21=0,"",(F21-P21)/P21))</f>
        <v/>
      </c>
      <c r="AJ21" s="28" t="str">
        <f aca="false">IF(OR(S21="",Q21=""),"",IF(Q21=0,"",(S21-Q21)/Q21))</f>
        <v/>
      </c>
      <c r="AK21" s="28" t="str">
        <f aca="false">IF(OR(V21="",R21=""),"",IF(R21=0,"",(V21-R21)/R21))</f>
        <v/>
      </c>
      <c r="AL21" s="29" t="str">
        <f aca="false">IF(OR(J21="",K21="",L21="",M21="",N21="",O21=""),"",IF(AND(ABS(J21-M21)&lt;=Setup!$B$20,ABS(K21-N21)&lt;=Setup!$B$21,ABS(L21-O21*1000)&lt;=Setup!$B$22),"OK","CHECK"))</f>
        <v/>
      </c>
      <c r="AM21" s="29" t="str">
        <f aca="false">IF(OR(J21="",K21="",L21="",F21="",S21="",V21=""),"",IF(AND(ABS(J21-F21)/Setup!$B$17&lt;=Setup!$B$16/100,ABS(K21-S21)/Setup!$B$18&lt;=Setup!$B$16/100,ABS(L21-V21)/Setup!$B$19&lt;=Setup!$B$16/100),"PASS","FAIL"))</f>
        <v/>
      </c>
      <c r="AN21" s="26" t="str">
        <f aca="false">IF(OR(F21="",J21="",J21=0),"",F21/J21)</f>
        <v/>
      </c>
      <c r="AO21" s="26" t="str">
        <f aca="false">IF(OR(S21="",K21="",K21=0),"",S21/K21)</f>
        <v/>
      </c>
      <c r="AP21" s="26" t="str">
        <f aca="false">IF(OR(V21="",L21="",L21=0),"",V21/L21)</f>
        <v/>
      </c>
    </row>
    <row r="22" customFormat="false" ht="15" hidden="false" customHeight="false" outlineLevel="0" collapsed="false">
      <c r="A22" s="21" t="n">
        <v>16</v>
      </c>
      <c r="B22" s="22"/>
      <c r="C22" s="23"/>
      <c r="D22" s="24"/>
      <c r="E22" s="23"/>
      <c r="F22" s="23"/>
      <c r="G22" s="25"/>
      <c r="H22" s="25"/>
      <c r="I22" s="25"/>
      <c r="J22" s="23"/>
      <c r="K22" s="25"/>
      <c r="L22" s="25"/>
      <c r="M22" s="23"/>
      <c r="N22" s="25"/>
      <c r="O22" s="24"/>
      <c r="P22" s="26" t="str">
        <f aca="false">IF(C22="","",C22)</f>
        <v/>
      </c>
      <c r="Q22" s="27" t="str">
        <f aca="false">IF(OR(C22="",D22="",C22=0),"",D22/C22*1000)</f>
        <v/>
      </c>
      <c r="R22" s="27" t="str">
        <f aca="false">IF(OR(D22="",E22=""),"",D22*E22*1000)</f>
        <v/>
      </c>
      <c r="S22" s="27" t="str">
        <f aca="false">IF(G22="","",G22/Setup!$B$14)</f>
        <v/>
      </c>
      <c r="T22" s="27" t="str">
        <f aca="false">IF(OR(H22="",I22=""),"",360*I22*H22/1000000)</f>
        <v/>
      </c>
      <c r="U22" s="26" t="str">
        <f aca="false">IF(T22="","",COS(RADIANS(T22)))</f>
        <v/>
      </c>
      <c r="V22" s="27" t="str">
        <f aca="false">IF(OR(F22="",S22="",U22=""),"",F22*S22*U22)</f>
        <v/>
      </c>
      <c r="W22" s="28" t="str">
        <f aca="false">IF(OR(J22="",F22=""),"",IF(F22=0,"",(J22-F22)/F22))</f>
        <v/>
      </c>
      <c r="X22" s="28" t="str">
        <f aca="false">IF(OR(K22="",S22=""),"",IF(S22=0,"",(K22-S22)/S22))</f>
        <v/>
      </c>
      <c r="Y22" s="28" t="str">
        <f aca="false">IF(OR(L22="",V22=""),"",IF(V22=0,"",(L22-V22)/V22))</f>
        <v/>
      </c>
      <c r="Z22" s="28" t="str">
        <f aca="false">IF(OR(J22="",P22=""),"",IF(P22=0,"",(J22-P22)/P22))</f>
        <v/>
      </c>
      <c r="AA22" s="28" t="str">
        <f aca="false">IF(OR(K22="",Q22=""),"",IF(Q22=0,"",(K22-Q22)/Q22))</f>
        <v/>
      </c>
      <c r="AB22" s="28" t="str">
        <f aca="false">IF(OR(L22="",R22=""),"",IF(R22=0,"",(L22-R22)/R22))</f>
        <v/>
      </c>
      <c r="AC22" s="28" t="str">
        <f aca="false">IF(OR(M22="",F22=""),"",IF(F22=0,"",(M22-F22)/F22))</f>
        <v/>
      </c>
      <c r="AD22" s="28" t="str">
        <f aca="false">IF(OR(N22="",S22=""),"",IF(S22=0,"",(N22-S22)/S22))</f>
        <v/>
      </c>
      <c r="AE22" s="28" t="str">
        <f aca="false">IF(OR(O22="",V22=""),"",IF(V22=0,"",(O22*1000-V22)/V22))</f>
        <v/>
      </c>
      <c r="AF22" s="28" t="str">
        <f aca="false">IF(OR(M22="",P22=""),"",IF(P22=0,"",(M22-P22)/P22))</f>
        <v/>
      </c>
      <c r="AG22" s="28" t="str">
        <f aca="false">IF(OR(N22="",Q22=""),"",IF(Q22=0,"",(N22-Q22)/Q22))</f>
        <v/>
      </c>
      <c r="AH22" s="28" t="str">
        <f aca="false">IF(OR(O22="",R22=""),"",IF(R22=0,"",(O22*1000-R22)/R22))</f>
        <v/>
      </c>
      <c r="AI22" s="28" t="str">
        <f aca="false">IF(OR(F22="",P22=""),"",IF(P22=0,"",(F22-P22)/P22))</f>
        <v/>
      </c>
      <c r="AJ22" s="28" t="str">
        <f aca="false">IF(OR(S22="",Q22=""),"",IF(Q22=0,"",(S22-Q22)/Q22))</f>
        <v/>
      </c>
      <c r="AK22" s="28" t="str">
        <f aca="false">IF(OR(V22="",R22=""),"",IF(R22=0,"",(V22-R22)/R22))</f>
        <v/>
      </c>
      <c r="AL22" s="29" t="str">
        <f aca="false">IF(OR(J22="",K22="",L22="",M22="",N22="",O22=""),"",IF(AND(ABS(J22-M22)&lt;=Setup!$B$20,ABS(K22-N22)&lt;=Setup!$B$21,ABS(L22-O22*1000)&lt;=Setup!$B$22),"OK","CHECK"))</f>
        <v/>
      </c>
      <c r="AM22" s="29" t="str">
        <f aca="false">IF(OR(J22="",K22="",L22="",F22="",S22="",V22=""),"",IF(AND(ABS(J22-F22)/Setup!$B$17&lt;=Setup!$B$16/100,ABS(K22-S22)/Setup!$B$18&lt;=Setup!$B$16/100,ABS(L22-V22)/Setup!$B$19&lt;=Setup!$B$16/100),"PASS","FAIL"))</f>
        <v/>
      </c>
      <c r="AN22" s="26" t="str">
        <f aca="false">IF(OR(F22="",J22="",J22=0),"",F22/J22)</f>
        <v/>
      </c>
      <c r="AO22" s="26" t="str">
        <f aca="false">IF(OR(S22="",K22="",K22=0),"",S22/K22)</f>
        <v/>
      </c>
      <c r="AP22" s="26" t="str">
        <f aca="false">IF(OR(V22="",L22="",L22=0),"",V22/L22)</f>
        <v/>
      </c>
    </row>
    <row r="23" customFormat="false" ht="15" hidden="false" customHeight="false" outlineLevel="0" collapsed="false">
      <c r="A23" s="21" t="n">
        <v>17</v>
      </c>
      <c r="B23" s="22"/>
      <c r="C23" s="23"/>
      <c r="D23" s="24"/>
      <c r="E23" s="23"/>
      <c r="F23" s="23"/>
      <c r="G23" s="25"/>
      <c r="H23" s="25"/>
      <c r="I23" s="25"/>
      <c r="J23" s="23"/>
      <c r="K23" s="25"/>
      <c r="L23" s="25"/>
      <c r="M23" s="23"/>
      <c r="N23" s="25"/>
      <c r="O23" s="24"/>
      <c r="P23" s="26" t="str">
        <f aca="false">IF(C23="","",C23)</f>
        <v/>
      </c>
      <c r="Q23" s="27" t="str">
        <f aca="false">IF(OR(C23="",D23="",C23=0),"",D23/C23*1000)</f>
        <v/>
      </c>
      <c r="R23" s="27" t="str">
        <f aca="false">IF(OR(D23="",E23=""),"",D23*E23*1000)</f>
        <v/>
      </c>
      <c r="S23" s="27" t="str">
        <f aca="false">IF(G23="","",G23/Setup!$B$14)</f>
        <v/>
      </c>
      <c r="T23" s="27" t="str">
        <f aca="false">IF(OR(H23="",I23=""),"",360*I23*H23/1000000)</f>
        <v/>
      </c>
      <c r="U23" s="26" t="str">
        <f aca="false">IF(T23="","",COS(RADIANS(T23)))</f>
        <v/>
      </c>
      <c r="V23" s="27" t="str">
        <f aca="false">IF(OR(F23="",S23="",U23=""),"",F23*S23*U23)</f>
        <v/>
      </c>
      <c r="W23" s="28" t="str">
        <f aca="false">IF(OR(J23="",F23=""),"",IF(F23=0,"",(J23-F23)/F23))</f>
        <v/>
      </c>
      <c r="X23" s="28" t="str">
        <f aca="false">IF(OR(K23="",S23=""),"",IF(S23=0,"",(K23-S23)/S23))</f>
        <v/>
      </c>
      <c r="Y23" s="28" t="str">
        <f aca="false">IF(OR(L23="",V23=""),"",IF(V23=0,"",(L23-V23)/V23))</f>
        <v/>
      </c>
      <c r="Z23" s="28" t="str">
        <f aca="false">IF(OR(J23="",P23=""),"",IF(P23=0,"",(J23-P23)/P23))</f>
        <v/>
      </c>
      <c r="AA23" s="28" t="str">
        <f aca="false">IF(OR(K23="",Q23=""),"",IF(Q23=0,"",(K23-Q23)/Q23))</f>
        <v/>
      </c>
      <c r="AB23" s="28" t="str">
        <f aca="false">IF(OR(L23="",R23=""),"",IF(R23=0,"",(L23-R23)/R23))</f>
        <v/>
      </c>
      <c r="AC23" s="28" t="str">
        <f aca="false">IF(OR(M23="",F23=""),"",IF(F23=0,"",(M23-F23)/F23))</f>
        <v/>
      </c>
      <c r="AD23" s="28" t="str">
        <f aca="false">IF(OR(N23="",S23=""),"",IF(S23=0,"",(N23-S23)/S23))</f>
        <v/>
      </c>
      <c r="AE23" s="28" t="str">
        <f aca="false">IF(OR(O23="",V23=""),"",IF(V23=0,"",(O23*1000-V23)/V23))</f>
        <v/>
      </c>
      <c r="AF23" s="28" t="str">
        <f aca="false">IF(OR(M23="",P23=""),"",IF(P23=0,"",(M23-P23)/P23))</f>
        <v/>
      </c>
      <c r="AG23" s="28" t="str">
        <f aca="false">IF(OR(N23="",Q23=""),"",IF(Q23=0,"",(N23-Q23)/Q23))</f>
        <v/>
      </c>
      <c r="AH23" s="28" t="str">
        <f aca="false">IF(OR(O23="",R23=""),"",IF(R23=0,"",(O23*1000-R23)/R23))</f>
        <v/>
      </c>
      <c r="AI23" s="28" t="str">
        <f aca="false">IF(OR(F23="",P23=""),"",IF(P23=0,"",(F23-P23)/P23))</f>
        <v/>
      </c>
      <c r="AJ23" s="28" t="str">
        <f aca="false">IF(OR(S23="",Q23=""),"",IF(Q23=0,"",(S23-Q23)/Q23))</f>
        <v/>
      </c>
      <c r="AK23" s="28" t="str">
        <f aca="false">IF(OR(V23="",R23=""),"",IF(R23=0,"",(V23-R23)/R23))</f>
        <v/>
      </c>
      <c r="AL23" s="29" t="str">
        <f aca="false">IF(OR(J23="",K23="",L23="",M23="",N23="",O23=""),"",IF(AND(ABS(J23-M23)&lt;=Setup!$B$20,ABS(K23-N23)&lt;=Setup!$B$21,ABS(L23-O23*1000)&lt;=Setup!$B$22),"OK","CHECK"))</f>
        <v/>
      </c>
      <c r="AM23" s="29" t="str">
        <f aca="false">IF(OR(J23="",K23="",L23="",F23="",S23="",V23=""),"",IF(AND(ABS(J23-F23)/Setup!$B$17&lt;=Setup!$B$16/100,ABS(K23-S23)/Setup!$B$18&lt;=Setup!$B$16/100,ABS(L23-V23)/Setup!$B$19&lt;=Setup!$B$16/100),"PASS","FAIL"))</f>
        <v/>
      </c>
      <c r="AN23" s="26" t="str">
        <f aca="false">IF(OR(F23="",J23="",J23=0),"",F23/J23)</f>
        <v/>
      </c>
      <c r="AO23" s="26" t="str">
        <f aca="false">IF(OR(S23="",K23="",K23=0),"",S23/K23)</f>
        <v/>
      </c>
      <c r="AP23" s="26" t="str">
        <f aca="false">IF(OR(V23="",L23="",L23=0),"",V23/L23)</f>
        <v/>
      </c>
    </row>
    <row r="24" customFormat="false" ht="15" hidden="false" customHeight="false" outlineLevel="0" collapsed="false">
      <c r="A24" s="21" t="n">
        <v>18</v>
      </c>
      <c r="B24" s="22"/>
      <c r="C24" s="23"/>
      <c r="D24" s="24"/>
      <c r="E24" s="23"/>
      <c r="F24" s="23"/>
      <c r="G24" s="25"/>
      <c r="H24" s="25"/>
      <c r="I24" s="25"/>
      <c r="J24" s="23"/>
      <c r="K24" s="25"/>
      <c r="L24" s="25"/>
      <c r="M24" s="23"/>
      <c r="N24" s="25"/>
      <c r="O24" s="24"/>
      <c r="P24" s="26" t="str">
        <f aca="false">IF(C24="","",C24)</f>
        <v/>
      </c>
      <c r="Q24" s="27" t="str">
        <f aca="false">IF(OR(C24="",D24="",C24=0),"",D24/C24*1000)</f>
        <v/>
      </c>
      <c r="R24" s="27" t="str">
        <f aca="false">IF(OR(D24="",E24=""),"",D24*E24*1000)</f>
        <v/>
      </c>
      <c r="S24" s="27" t="str">
        <f aca="false">IF(G24="","",G24/Setup!$B$14)</f>
        <v/>
      </c>
      <c r="T24" s="27" t="str">
        <f aca="false">IF(OR(H24="",I24=""),"",360*I24*H24/1000000)</f>
        <v/>
      </c>
      <c r="U24" s="26" t="str">
        <f aca="false">IF(T24="","",COS(RADIANS(T24)))</f>
        <v/>
      </c>
      <c r="V24" s="27" t="str">
        <f aca="false">IF(OR(F24="",S24="",U24=""),"",F24*S24*U24)</f>
        <v/>
      </c>
      <c r="W24" s="28" t="str">
        <f aca="false">IF(OR(J24="",F24=""),"",IF(F24=0,"",(J24-F24)/F24))</f>
        <v/>
      </c>
      <c r="X24" s="28" t="str">
        <f aca="false">IF(OR(K24="",S24=""),"",IF(S24=0,"",(K24-S24)/S24))</f>
        <v/>
      </c>
      <c r="Y24" s="28" t="str">
        <f aca="false">IF(OR(L24="",V24=""),"",IF(V24=0,"",(L24-V24)/V24))</f>
        <v/>
      </c>
      <c r="Z24" s="28" t="str">
        <f aca="false">IF(OR(J24="",P24=""),"",IF(P24=0,"",(J24-P24)/P24))</f>
        <v/>
      </c>
      <c r="AA24" s="28" t="str">
        <f aca="false">IF(OR(K24="",Q24=""),"",IF(Q24=0,"",(K24-Q24)/Q24))</f>
        <v/>
      </c>
      <c r="AB24" s="28" t="str">
        <f aca="false">IF(OR(L24="",R24=""),"",IF(R24=0,"",(L24-R24)/R24))</f>
        <v/>
      </c>
      <c r="AC24" s="28" t="str">
        <f aca="false">IF(OR(M24="",F24=""),"",IF(F24=0,"",(M24-F24)/F24))</f>
        <v/>
      </c>
      <c r="AD24" s="28" t="str">
        <f aca="false">IF(OR(N24="",S24=""),"",IF(S24=0,"",(N24-S24)/S24))</f>
        <v/>
      </c>
      <c r="AE24" s="28" t="str">
        <f aca="false">IF(OR(O24="",V24=""),"",IF(V24=0,"",(O24*1000-V24)/V24))</f>
        <v/>
      </c>
      <c r="AF24" s="28" t="str">
        <f aca="false">IF(OR(M24="",P24=""),"",IF(P24=0,"",(M24-P24)/P24))</f>
        <v/>
      </c>
      <c r="AG24" s="28" t="str">
        <f aca="false">IF(OR(N24="",Q24=""),"",IF(Q24=0,"",(N24-Q24)/Q24))</f>
        <v/>
      </c>
      <c r="AH24" s="28" t="str">
        <f aca="false">IF(OR(O24="",R24=""),"",IF(R24=0,"",(O24*1000-R24)/R24))</f>
        <v/>
      </c>
      <c r="AI24" s="28" t="str">
        <f aca="false">IF(OR(F24="",P24=""),"",IF(P24=0,"",(F24-P24)/P24))</f>
        <v/>
      </c>
      <c r="AJ24" s="28" t="str">
        <f aca="false">IF(OR(S24="",Q24=""),"",IF(Q24=0,"",(S24-Q24)/Q24))</f>
        <v/>
      </c>
      <c r="AK24" s="28" t="str">
        <f aca="false">IF(OR(V24="",R24=""),"",IF(R24=0,"",(V24-R24)/R24))</f>
        <v/>
      </c>
      <c r="AL24" s="29" t="str">
        <f aca="false">IF(OR(J24="",K24="",L24="",M24="",N24="",O24=""),"",IF(AND(ABS(J24-M24)&lt;=Setup!$B$20,ABS(K24-N24)&lt;=Setup!$B$21,ABS(L24-O24*1000)&lt;=Setup!$B$22),"OK","CHECK"))</f>
        <v/>
      </c>
      <c r="AM24" s="29" t="str">
        <f aca="false">IF(OR(J24="",K24="",L24="",F24="",S24="",V24=""),"",IF(AND(ABS(J24-F24)/Setup!$B$17&lt;=Setup!$B$16/100,ABS(K24-S24)/Setup!$B$18&lt;=Setup!$B$16/100,ABS(L24-V24)/Setup!$B$19&lt;=Setup!$B$16/100),"PASS","FAIL"))</f>
        <v/>
      </c>
      <c r="AN24" s="26" t="str">
        <f aca="false">IF(OR(F24="",J24="",J24=0),"",F24/J24)</f>
        <v/>
      </c>
      <c r="AO24" s="26" t="str">
        <f aca="false">IF(OR(S24="",K24="",K24=0),"",S24/K24)</f>
        <v/>
      </c>
      <c r="AP24" s="26" t="str">
        <f aca="false">IF(OR(V24="",L24="",L24=0),"",V24/L24)</f>
        <v/>
      </c>
    </row>
    <row r="25" customFormat="false" ht="15" hidden="false" customHeight="false" outlineLevel="0" collapsed="false">
      <c r="A25" s="21" t="n">
        <v>19</v>
      </c>
      <c r="B25" s="22"/>
      <c r="C25" s="23"/>
      <c r="D25" s="24"/>
      <c r="E25" s="23"/>
      <c r="F25" s="23"/>
      <c r="G25" s="25"/>
      <c r="H25" s="25"/>
      <c r="I25" s="25"/>
      <c r="J25" s="23"/>
      <c r="K25" s="25"/>
      <c r="L25" s="25"/>
      <c r="M25" s="23"/>
      <c r="N25" s="25"/>
      <c r="O25" s="24"/>
      <c r="P25" s="26" t="str">
        <f aca="false">IF(C25="","",C25)</f>
        <v/>
      </c>
      <c r="Q25" s="27" t="str">
        <f aca="false">IF(OR(C25="",D25="",C25=0),"",D25/C25*1000)</f>
        <v/>
      </c>
      <c r="R25" s="27" t="str">
        <f aca="false">IF(OR(D25="",E25=""),"",D25*E25*1000)</f>
        <v/>
      </c>
      <c r="S25" s="27" t="str">
        <f aca="false">IF(G25="","",G25/Setup!$B$14)</f>
        <v/>
      </c>
      <c r="T25" s="27" t="str">
        <f aca="false">IF(OR(H25="",I25=""),"",360*I25*H25/1000000)</f>
        <v/>
      </c>
      <c r="U25" s="26" t="str">
        <f aca="false">IF(T25="","",COS(RADIANS(T25)))</f>
        <v/>
      </c>
      <c r="V25" s="27" t="str">
        <f aca="false">IF(OR(F25="",S25="",U25=""),"",F25*S25*U25)</f>
        <v/>
      </c>
      <c r="W25" s="28" t="str">
        <f aca="false">IF(OR(J25="",F25=""),"",IF(F25=0,"",(J25-F25)/F25))</f>
        <v/>
      </c>
      <c r="X25" s="28" t="str">
        <f aca="false">IF(OR(K25="",S25=""),"",IF(S25=0,"",(K25-S25)/S25))</f>
        <v/>
      </c>
      <c r="Y25" s="28" t="str">
        <f aca="false">IF(OR(L25="",V25=""),"",IF(V25=0,"",(L25-V25)/V25))</f>
        <v/>
      </c>
      <c r="Z25" s="28" t="str">
        <f aca="false">IF(OR(J25="",P25=""),"",IF(P25=0,"",(J25-P25)/P25))</f>
        <v/>
      </c>
      <c r="AA25" s="28" t="str">
        <f aca="false">IF(OR(K25="",Q25=""),"",IF(Q25=0,"",(K25-Q25)/Q25))</f>
        <v/>
      </c>
      <c r="AB25" s="28" t="str">
        <f aca="false">IF(OR(L25="",R25=""),"",IF(R25=0,"",(L25-R25)/R25))</f>
        <v/>
      </c>
      <c r="AC25" s="28" t="str">
        <f aca="false">IF(OR(M25="",F25=""),"",IF(F25=0,"",(M25-F25)/F25))</f>
        <v/>
      </c>
      <c r="AD25" s="28" t="str">
        <f aca="false">IF(OR(N25="",S25=""),"",IF(S25=0,"",(N25-S25)/S25))</f>
        <v/>
      </c>
      <c r="AE25" s="28" t="str">
        <f aca="false">IF(OR(O25="",V25=""),"",IF(V25=0,"",(O25*1000-V25)/V25))</f>
        <v/>
      </c>
      <c r="AF25" s="28" t="str">
        <f aca="false">IF(OR(M25="",P25=""),"",IF(P25=0,"",(M25-P25)/P25))</f>
        <v/>
      </c>
      <c r="AG25" s="28" t="str">
        <f aca="false">IF(OR(N25="",Q25=""),"",IF(Q25=0,"",(N25-Q25)/Q25))</f>
        <v/>
      </c>
      <c r="AH25" s="28" t="str">
        <f aca="false">IF(OR(O25="",R25=""),"",IF(R25=0,"",(O25*1000-R25)/R25))</f>
        <v/>
      </c>
      <c r="AI25" s="28" t="str">
        <f aca="false">IF(OR(F25="",P25=""),"",IF(P25=0,"",(F25-P25)/P25))</f>
        <v/>
      </c>
      <c r="AJ25" s="28" t="str">
        <f aca="false">IF(OR(S25="",Q25=""),"",IF(Q25=0,"",(S25-Q25)/Q25))</f>
        <v/>
      </c>
      <c r="AK25" s="28" t="str">
        <f aca="false">IF(OR(V25="",R25=""),"",IF(R25=0,"",(V25-R25)/R25))</f>
        <v/>
      </c>
      <c r="AL25" s="29" t="str">
        <f aca="false">IF(OR(J25="",K25="",L25="",M25="",N25="",O25=""),"",IF(AND(ABS(J25-M25)&lt;=Setup!$B$20,ABS(K25-N25)&lt;=Setup!$B$21,ABS(L25-O25*1000)&lt;=Setup!$B$22),"OK","CHECK"))</f>
        <v/>
      </c>
      <c r="AM25" s="29" t="str">
        <f aca="false">IF(OR(J25="",K25="",L25="",F25="",S25="",V25=""),"",IF(AND(ABS(J25-F25)/Setup!$B$17&lt;=Setup!$B$16/100,ABS(K25-S25)/Setup!$B$18&lt;=Setup!$B$16/100,ABS(L25-V25)/Setup!$B$19&lt;=Setup!$B$16/100),"PASS","FAIL"))</f>
        <v/>
      </c>
      <c r="AN25" s="26" t="str">
        <f aca="false">IF(OR(F25="",J25="",J25=0),"",F25/J25)</f>
        <v/>
      </c>
      <c r="AO25" s="26" t="str">
        <f aca="false">IF(OR(S25="",K25="",K25=0),"",S25/K25)</f>
        <v/>
      </c>
      <c r="AP25" s="26" t="str">
        <f aca="false">IF(OR(V25="",L25="",L25=0),"",V25/L25)</f>
        <v/>
      </c>
    </row>
    <row r="26" customFormat="false" ht="15" hidden="false" customHeight="false" outlineLevel="0" collapsed="false">
      <c r="A26" s="21" t="n">
        <v>20</v>
      </c>
      <c r="B26" s="22"/>
      <c r="C26" s="23"/>
      <c r="D26" s="24"/>
      <c r="E26" s="23"/>
      <c r="F26" s="23"/>
      <c r="G26" s="25"/>
      <c r="H26" s="25"/>
      <c r="I26" s="25"/>
      <c r="J26" s="23"/>
      <c r="K26" s="25"/>
      <c r="L26" s="25"/>
      <c r="M26" s="23"/>
      <c r="N26" s="25"/>
      <c r="O26" s="24"/>
      <c r="P26" s="26" t="str">
        <f aca="false">IF(C26="","",C26)</f>
        <v/>
      </c>
      <c r="Q26" s="27" t="str">
        <f aca="false">IF(OR(C26="",D26="",C26=0),"",D26/C26*1000)</f>
        <v/>
      </c>
      <c r="R26" s="27" t="str">
        <f aca="false">IF(OR(D26="",E26=""),"",D26*E26*1000)</f>
        <v/>
      </c>
      <c r="S26" s="27" t="str">
        <f aca="false">IF(G26="","",G26/Setup!$B$14)</f>
        <v/>
      </c>
      <c r="T26" s="27" t="str">
        <f aca="false">IF(OR(H26="",I26=""),"",360*I26*H26/1000000)</f>
        <v/>
      </c>
      <c r="U26" s="26" t="str">
        <f aca="false">IF(T26="","",COS(RADIANS(T26)))</f>
        <v/>
      </c>
      <c r="V26" s="27" t="str">
        <f aca="false">IF(OR(F26="",S26="",U26=""),"",F26*S26*U26)</f>
        <v/>
      </c>
      <c r="W26" s="28" t="str">
        <f aca="false">IF(OR(J26="",F26=""),"",IF(F26=0,"",(J26-F26)/F26))</f>
        <v/>
      </c>
      <c r="X26" s="28" t="str">
        <f aca="false">IF(OR(K26="",S26=""),"",IF(S26=0,"",(K26-S26)/S26))</f>
        <v/>
      </c>
      <c r="Y26" s="28" t="str">
        <f aca="false">IF(OR(L26="",V26=""),"",IF(V26=0,"",(L26-V26)/V26))</f>
        <v/>
      </c>
      <c r="Z26" s="28" t="str">
        <f aca="false">IF(OR(J26="",P26=""),"",IF(P26=0,"",(J26-P26)/P26))</f>
        <v/>
      </c>
      <c r="AA26" s="28" t="str">
        <f aca="false">IF(OR(K26="",Q26=""),"",IF(Q26=0,"",(K26-Q26)/Q26))</f>
        <v/>
      </c>
      <c r="AB26" s="28" t="str">
        <f aca="false">IF(OR(L26="",R26=""),"",IF(R26=0,"",(L26-R26)/R26))</f>
        <v/>
      </c>
      <c r="AC26" s="28" t="str">
        <f aca="false">IF(OR(M26="",F26=""),"",IF(F26=0,"",(M26-F26)/F26))</f>
        <v/>
      </c>
      <c r="AD26" s="28" t="str">
        <f aca="false">IF(OR(N26="",S26=""),"",IF(S26=0,"",(N26-S26)/S26))</f>
        <v/>
      </c>
      <c r="AE26" s="28" t="str">
        <f aca="false">IF(OR(O26="",V26=""),"",IF(V26=0,"",(O26*1000-V26)/V26))</f>
        <v/>
      </c>
      <c r="AF26" s="28" t="str">
        <f aca="false">IF(OR(M26="",P26=""),"",IF(P26=0,"",(M26-P26)/P26))</f>
        <v/>
      </c>
      <c r="AG26" s="28" t="str">
        <f aca="false">IF(OR(N26="",Q26=""),"",IF(Q26=0,"",(N26-Q26)/Q26))</f>
        <v/>
      </c>
      <c r="AH26" s="28" t="str">
        <f aca="false">IF(OR(O26="",R26=""),"",IF(R26=0,"",(O26*1000-R26)/R26))</f>
        <v/>
      </c>
      <c r="AI26" s="28" t="str">
        <f aca="false">IF(OR(F26="",P26=""),"",IF(P26=0,"",(F26-P26)/P26))</f>
        <v/>
      </c>
      <c r="AJ26" s="28" t="str">
        <f aca="false">IF(OR(S26="",Q26=""),"",IF(Q26=0,"",(S26-Q26)/Q26))</f>
        <v/>
      </c>
      <c r="AK26" s="28" t="str">
        <f aca="false">IF(OR(V26="",R26=""),"",IF(R26=0,"",(V26-R26)/R26))</f>
        <v/>
      </c>
      <c r="AL26" s="29" t="str">
        <f aca="false">IF(OR(J26="",K26="",L26="",M26="",N26="",O26=""),"",IF(AND(ABS(J26-M26)&lt;=Setup!$B$20,ABS(K26-N26)&lt;=Setup!$B$21,ABS(L26-O26*1000)&lt;=Setup!$B$22),"OK","CHECK"))</f>
        <v/>
      </c>
      <c r="AM26" s="29" t="str">
        <f aca="false">IF(OR(J26="",K26="",L26="",F26="",S26="",V26=""),"",IF(AND(ABS(J26-F26)/Setup!$B$17&lt;=Setup!$B$16/100,ABS(K26-S26)/Setup!$B$18&lt;=Setup!$B$16/100,ABS(L26-V26)/Setup!$B$19&lt;=Setup!$B$16/100),"PASS","FAIL"))</f>
        <v/>
      </c>
      <c r="AN26" s="26" t="str">
        <f aca="false">IF(OR(F26="",J26="",J26=0),"",F26/J26)</f>
        <v/>
      </c>
      <c r="AO26" s="26" t="str">
        <f aca="false">IF(OR(S26="",K26="",K26=0),"",S26/K26)</f>
        <v/>
      </c>
      <c r="AP26" s="26" t="str">
        <f aca="false">IF(OR(V26="",L26="",L26=0),"",V26/L26)</f>
        <v/>
      </c>
    </row>
  </sheetData>
  <mergeCells count="9">
    <mergeCell ref="A4:E4"/>
    <mergeCell ref="F4:I4"/>
    <mergeCell ref="J4:L4"/>
    <mergeCell ref="M4:O4"/>
    <mergeCell ref="P4:R4"/>
    <mergeCell ref="S4:V4"/>
    <mergeCell ref="W4:AK4"/>
    <mergeCell ref="AL4:AM4"/>
    <mergeCell ref="AN4:AP4"/>
  </mergeCells>
  <conditionalFormatting sqref="AM7:AM26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conditionalFormatting sqref="AL7:AL2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2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14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5" customFormat="false" ht="43.5" hidden="false" customHeight="true" outlineLevel="0" collapsed="false">
      <c r="A5" s="17" t="s">
        <v>99</v>
      </c>
      <c r="B5" s="17" t="s">
        <v>100</v>
      </c>
      <c r="C5" s="17" t="s">
        <v>144</v>
      </c>
      <c r="D5" s="17" t="s">
        <v>145</v>
      </c>
      <c r="E5" s="17" t="s">
        <v>146</v>
      </c>
      <c r="F5" s="17" t="s">
        <v>147</v>
      </c>
      <c r="G5" s="20" t="s">
        <v>148</v>
      </c>
      <c r="H5" s="20" t="s">
        <v>149</v>
      </c>
      <c r="I5" s="20" t="s">
        <v>150</v>
      </c>
      <c r="J5" s="20" t="s">
        <v>151</v>
      </c>
      <c r="K5" s="20" t="s">
        <v>152</v>
      </c>
    </row>
    <row r="6" customFormat="false" ht="15" hidden="false" customHeight="false" outlineLevel="0" collapsed="false">
      <c r="A6" s="21" t="n">
        <v>1</v>
      </c>
      <c r="B6" s="22" t="s">
        <v>153</v>
      </c>
      <c r="C6" s="30" t="n">
        <v>4000</v>
      </c>
      <c r="D6" s="30" t="n">
        <v>600</v>
      </c>
      <c r="E6" s="22" t="n">
        <v>120</v>
      </c>
      <c r="F6" s="22" t="n">
        <v>780</v>
      </c>
      <c r="G6" s="27" t="n">
        <f aca="false">IF(OR(C6="",D6=""),"",C6*D6/3600)</f>
        <v>666.666666666667</v>
      </c>
      <c r="H6" s="31" t="n">
        <f aca="false">IF(OR(E6="",F6=""),"",F6-E6)</f>
        <v>660</v>
      </c>
      <c r="I6" s="28" t="n">
        <f aca="false">IF(OR(G6="",H6="",G6=0),"",(H6-G6)/G6)</f>
        <v>-0.00999999999999994</v>
      </c>
      <c r="J6" s="28" t="n">
        <f aca="false">IF(OR(G6="",G6=0),"",1/G6)</f>
        <v>0.0015</v>
      </c>
      <c r="K6" s="32" t="str">
        <f aca="false">IF(OR(G6="",H6=""),"",IF(ABS(H6-G6)&lt;=1+Setup!$B$16/100*G6,"PASS","FAIL"))</f>
        <v>PASS</v>
      </c>
    </row>
    <row r="7" customFormat="false" ht="15" hidden="false" customHeight="false" outlineLevel="0" collapsed="false">
      <c r="A7" s="21" t="n">
        <v>2</v>
      </c>
      <c r="B7" s="22"/>
      <c r="C7" s="30"/>
      <c r="D7" s="30"/>
      <c r="E7" s="22"/>
      <c r="F7" s="22"/>
      <c r="G7" s="27" t="str">
        <f aca="false">IF(OR(C7="",D7=""),"",C7*D7/3600)</f>
        <v/>
      </c>
      <c r="H7" s="31" t="str">
        <f aca="false">IF(OR(E7="",F7=""),"",F7-E7)</f>
        <v/>
      </c>
      <c r="I7" s="28" t="str">
        <f aca="false">IF(OR(G7="",H7="",G7=0),"",(H7-G7)/G7)</f>
        <v/>
      </c>
      <c r="J7" s="28" t="str">
        <f aca="false">IF(OR(G7="",G7=0),"",1/G7)</f>
        <v/>
      </c>
      <c r="K7" s="32" t="str">
        <f aca="false">IF(OR(G7="",H7=""),"",IF(ABS(H7-G7)&lt;=1+Setup!$B$16/100*G7,"PASS","FAIL"))</f>
        <v/>
      </c>
    </row>
    <row r="8" customFormat="false" ht="15" hidden="false" customHeight="false" outlineLevel="0" collapsed="false">
      <c r="A8" s="21" t="n">
        <v>3</v>
      </c>
      <c r="B8" s="22"/>
      <c r="C8" s="30"/>
      <c r="D8" s="30"/>
      <c r="E8" s="22"/>
      <c r="F8" s="22"/>
      <c r="G8" s="27" t="str">
        <f aca="false">IF(OR(C8="",D8=""),"",C8*D8/3600)</f>
        <v/>
      </c>
      <c r="H8" s="31" t="str">
        <f aca="false">IF(OR(E8="",F8=""),"",F8-E8)</f>
        <v/>
      </c>
      <c r="I8" s="28" t="str">
        <f aca="false">IF(OR(G8="",H8="",G8=0),"",(H8-G8)/G8)</f>
        <v/>
      </c>
      <c r="J8" s="28" t="str">
        <f aca="false">IF(OR(G8="",G8=0),"",1/G8)</f>
        <v/>
      </c>
      <c r="K8" s="32" t="str">
        <f aca="false">IF(OR(G8="",H8=""),"",IF(ABS(H8-G8)&lt;=1+Setup!$B$16/100*G8,"PASS","FAIL"))</f>
        <v/>
      </c>
    </row>
    <row r="9" customFormat="false" ht="15" hidden="false" customHeight="false" outlineLevel="0" collapsed="false">
      <c r="A9" s="21" t="n">
        <v>4</v>
      </c>
      <c r="B9" s="22"/>
      <c r="C9" s="30"/>
      <c r="D9" s="30"/>
      <c r="E9" s="22"/>
      <c r="F9" s="22"/>
      <c r="G9" s="27" t="str">
        <f aca="false">IF(OR(C9="",D9=""),"",C9*D9/3600)</f>
        <v/>
      </c>
      <c r="H9" s="31" t="str">
        <f aca="false">IF(OR(E9="",F9=""),"",F9-E9)</f>
        <v/>
      </c>
      <c r="I9" s="28" t="str">
        <f aca="false">IF(OR(G9="",H9="",G9=0),"",(H9-G9)/G9)</f>
        <v/>
      </c>
      <c r="J9" s="28" t="str">
        <f aca="false">IF(OR(G9="",G9=0),"",1/G9)</f>
        <v/>
      </c>
      <c r="K9" s="32" t="str">
        <f aca="false">IF(OR(G9="",H9=""),"",IF(ABS(H9-G9)&lt;=1+Setup!$B$16/100*G9,"PASS","FAIL"))</f>
        <v/>
      </c>
    </row>
    <row r="10" customFormat="false" ht="15" hidden="false" customHeight="false" outlineLevel="0" collapsed="false">
      <c r="A10" s="21" t="n">
        <v>5</v>
      </c>
      <c r="B10" s="22"/>
      <c r="C10" s="30"/>
      <c r="D10" s="30"/>
      <c r="E10" s="22"/>
      <c r="F10" s="22"/>
      <c r="G10" s="27" t="str">
        <f aca="false">IF(OR(C10="",D10=""),"",C10*D10/3600)</f>
        <v/>
      </c>
      <c r="H10" s="31" t="str">
        <f aca="false">IF(OR(E10="",F10=""),"",F10-E10)</f>
        <v/>
      </c>
      <c r="I10" s="28" t="str">
        <f aca="false">IF(OR(G10="",H10="",G10=0),"",(H10-G10)/G10)</f>
        <v/>
      </c>
      <c r="J10" s="28" t="str">
        <f aca="false">IF(OR(G10="",G10=0),"",1/G10)</f>
        <v/>
      </c>
      <c r="K10" s="32" t="str">
        <f aca="false">IF(OR(G10="",H10=""),"",IF(ABS(H10-G10)&lt;=1+Setup!$B$16/100*G10,"PASS","FAIL"))</f>
        <v/>
      </c>
    </row>
    <row r="11" customFormat="false" ht="15" hidden="false" customHeight="false" outlineLevel="0" collapsed="false">
      <c r="A11" s="21" t="n">
        <v>6</v>
      </c>
      <c r="B11" s="22"/>
      <c r="C11" s="30"/>
      <c r="D11" s="30"/>
      <c r="E11" s="22"/>
      <c r="F11" s="22"/>
      <c r="G11" s="27" t="str">
        <f aca="false">IF(OR(C11="",D11=""),"",C11*D11/3600)</f>
        <v/>
      </c>
      <c r="H11" s="31" t="str">
        <f aca="false">IF(OR(E11="",F11=""),"",F11-E11)</f>
        <v/>
      </c>
      <c r="I11" s="28" t="str">
        <f aca="false">IF(OR(G11="",H11="",G11=0),"",(H11-G11)/G11)</f>
        <v/>
      </c>
      <c r="J11" s="28" t="str">
        <f aca="false">IF(OR(G11="",G11=0),"",1/G11)</f>
        <v/>
      </c>
      <c r="K11" s="32" t="str">
        <f aca="false">IF(OR(G11="",H11=""),"",IF(ABS(H11-G11)&lt;=1+Setup!$B$16/100*G11,"PASS","FAIL"))</f>
        <v/>
      </c>
    </row>
    <row r="12" customFormat="false" ht="15" hidden="false" customHeight="false" outlineLevel="0" collapsed="false">
      <c r="A12" s="21" t="n">
        <v>7</v>
      </c>
      <c r="B12" s="22"/>
      <c r="C12" s="30"/>
      <c r="D12" s="30"/>
      <c r="E12" s="22"/>
      <c r="F12" s="22"/>
      <c r="G12" s="27" t="str">
        <f aca="false">IF(OR(C12="",D12=""),"",C12*D12/3600)</f>
        <v/>
      </c>
      <c r="H12" s="31" t="str">
        <f aca="false">IF(OR(E12="",F12=""),"",F12-E12)</f>
        <v/>
      </c>
      <c r="I12" s="28" t="str">
        <f aca="false">IF(OR(G12="",H12="",G12=0),"",(H12-G12)/G12)</f>
        <v/>
      </c>
      <c r="J12" s="28" t="str">
        <f aca="false">IF(OR(G12="",G12=0),"",1/G12)</f>
        <v/>
      </c>
      <c r="K12" s="32" t="str">
        <f aca="false">IF(OR(G12="",H12=""),"",IF(ABS(H12-G12)&lt;=1+Setup!$B$16/100*G12,"PASS","FAIL"))</f>
        <v/>
      </c>
    </row>
    <row r="13" customFormat="false" ht="15" hidden="false" customHeight="false" outlineLevel="0" collapsed="false">
      <c r="A13" s="21" t="n">
        <v>8</v>
      </c>
      <c r="B13" s="22"/>
      <c r="C13" s="30"/>
      <c r="D13" s="30"/>
      <c r="E13" s="22"/>
      <c r="F13" s="22"/>
      <c r="G13" s="27" t="str">
        <f aca="false">IF(OR(C13="",D13=""),"",C13*D13/3600)</f>
        <v/>
      </c>
      <c r="H13" s="31" t="str">
        <f aca="false">IF(OR(E13="",F13=""),"",F13-E13)</f>
        <v/>
      </c>
      <c r="I13" s="28" t="str">
        <f aca="false">IF(OR(G13="",H13="",G13=0),"",(H13-G13)/G13)</f>
        <v/>
      </c>
      <c r="J13" s="28" t="str">
        <f aca="false">IF(OR(G13="",G13=0),"",1/G13)</f>
        <v/>
      </c>
      <c r="K13" s="32" t="str">
        <f aca="false">IF(OR(G13="",H13=""),"",IF(ABS(H13-G13)&lt;=1+Setup!$B$16/100*G13,"PASS","FAIL"))</f>
        <v/>
      </c>
    </row>
    <row r="14" customFormat="false" ht="15" hidden="false" customHeight="false" outlineLevel="0" collapsed="false">
      <c r="A14" s="21" t="n">
        <v>9</v>
      </c>
      <c r="B14" s="22"/>
      <c r="C14" s="30"/>
      <c r="D14" s="30"/>
      <c r="E14" s="22"/>
      <c r="F14" s="22"/>
      <c r="G14" s="27" t="str">
        <f aca="false">IF(OR(C14="",D14=""),"",C14*D14/3600)</f>
        <v/>
      </c>
      <c r="H14" s="31" t="str">
        <f aca="false">IF(OR(E14="",F14=""),"",F14-E14)</f>
        <v/>
      </c>
      <c r="I14" s="28" t="str">
        <f aca="false">IF(OR(G14="",H14="",G14=0),"",(H14-G14)/G14)</f>
        <v/>
      </c>
      <c r="J14" s="28" t="str">
        <f aca="false">IF(OR(G14="",G14=0),"",1/G14)</f>
        <v/>
      </c>
      <c r="K14" s="32" t="str">
        <f aca="false">IF(OR(G14="",H14=""),"",IF(ABS(H14-G14)&lt;=1+Setup!$B$16/100*G14,"PASS","FAIL"))</f>
        <v/>
      </c>
    </row>
    <row r="15" customFormat="false" ht="15" hidden="false" customHeight="false" outlineLevel="0" collapsed="false">
      <c r="A15" s="21" t="n">
        <v>10</v>
      </c>
      <c r="B15" s="22"/>
      <c r="C15" s="30"/>
      <c r="D15" s="30"/>
      <c r="E15" s="22"/>
      <c r="F15" s="22"/>
      <c r="G15" s="27" t="str">
        <f aca="false">IF(OR(C15="",D15=""),"",C15*D15/3600)</f>
        <v/>
      </c>
      <c r="H15" s="31" t="str">
        <f aca="false">IF(OR(E15="",F15=""),"",F15-E15)</f>
        <v/>
      </c>
      <c r="I15" s="28" t="str">
        <f aca="false">IF(OR(G15="",H15="",G15=0),"",(H15-G15)/G15)</f>
        <v/>
      </c>
      <c r="J15" s="28" t="str">
        <f aca="false">IF(OR(G15="",G15=0),"",1/G15)</f>
        <v/>
      </c>
      <c r="K15" s="32" t="str">
        <f aca="false">IF(OR(G15="",H15=""),"",IF(ABS(H15-G15)&lt;=1+Setup!$B$16/100*G15,"PASS","FAIL"))</f>
        <v/>
      </c>
    </row>
    <row r="17" customFormat="false" ht="15" hidden="false" customHeight="false" outlineLevel="0" collapsed="false">
      <c r="A17" s="2" t="s">
        <v>154</v>
      </c>
    </row>
  </sheetData>
  <conditionalFormatting sqref="K6:K15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4" min="3" style="0" width="20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15" hidden="false" customHeight="false" outlineLevel="0" collapsed="false">
      <c r="A4" s="4" t="s">
        <v>157</v>
      </c>
      <c r="B4" s="4"/>
      <c r="C4" s="4"/>
      <c r="D4" s="4"/>
      <c r="E4" s="4"/>
    </row>
    <row r="5" customFormat="false" ht="15" hidden="false" customHeight="false" outlineLevel="0" collapsed="false">
      <c r="A5" s="5" t="s">
        <v>158</v>
      </c>
      <c r="B5" s="5" t="s">
        <v>159</v>
      </c>
      <c r="C5" s="5" t="s">
        <v>160</v>
      </c>
      <c r="D5" s="5" t="s">
        <v>161</v>
      </c>
      <c r="E5" s="5" t="s">
        <v>162</v>
      </c>
    </row>
    <row r="6" customFormat="false" ht="15" hidden="false" customHeight="false" outlineLevel="0" collapsed="false">
      <c r="A6" s="33" t="s">
        <v>163</v>
      </c>
      <c r="B6" s="33" t="s">
        <v>164</v>
      </c>
      <c r="C6" s="34" t="n">
        <f aca="false">IF(COUNT('Calibration Log'!W7:W26)=0,"n/a",AVERAGE('Calibration Log'!W7:W26))</f>
        <v>0.00285306704707567</v>
      </c>
      <c r="D6" s="34" t="n">
        <f aca="false">IF(COUNT('Calibration Log'!W7:W26)=0,"n/a",MAX(MAX('Calibration Log'!W7:W26),-MIN('Calibration Log'!W7:W26)))</f>
        <v>0.00285306704707567</v>
      </c>
      <c r="E6" s="33" t="n">
        <f aca="false">COUNT('Calibration Log'!W7:W26)</f>
        <v>1</v>
      </c>
    </row>
    <row r="7" customFormat="false" ht="15" hidden="false" customHeight="false" outlineLevel="0" collapsed="false">
      <c r="A7" s="33" t="s">
        <v>163</v>
      </c>
      <c r="B7" s="33" t="s">
        <v>165</v>
      </c>
      <c r="C7" s="34" t="n">
        <f aca="false">IF(COUNT('Calibration Log'!X7:X26)=0,"n/a",AVERAGE('Calibration Log'!X7:X26))</f>
        <v>-0.0173572228443449</v>
      </c>
      <c r="D7" s="34" t="n">
        <f aca="false">IF(COUNT('Calibration Log'!X7:X26)=0,"n/a",MAX(MAX('Calibration Log'!X7:X26),-MIN('Calibration Log'!X7:X26)))</f>
        <v>0.0173572228443449</v>
      </c>
      <c r="E7" s="33" t="n">
        <f aca="false">COUNT('Calibration Log'!X7:X26)</f>
        <v>1</v>
      </c>
    </row>
    <row r="8" customFormat="false" ht="15" hidden="false" customHeight="false" outlineLevel="0" collapsed="false">
      <c r="A8" s="33" t="s">
        <v>163</v>
      </c>
      <c r="B8" s="33" t="s">
        <v>166</v>
      </c>
      <c r="C8" s="34" t="n">
        <f aca="false">IF(COUNT('Calibration Log'!Y7:Y26)=0,"n/a",AVERAGE('Calibration Log'!Y7:Y26))</f>
        <v>-0.0136776657509249</v>
      </c>
      <c r="D8" s="34" t="n">
        <f aca="false">IF(COUNT('Calibration Log'!Y7:Y26)=0,"n/a",MAX(MAX('Calibration Log'!Y7:Y26),-MIN('Calibration Log'!Y7:Y26)))</f>
        <v>0.0136776657509249</v>
      </c>
      <c r="E8" s="33" t="n">
        <f aca="false">COUNT('Calibration Log'!Y7:Y26)</f>
        <v>1</v>
      </c>
    </row>
    <row r="9" customFormat="false" ht="15" hidden="false" customHeight="false" outlineLevel="0" collapsed="false">
      <c r="A9" s="33" t="s">
        <v>167</v>
      </c>
      <c r="B9" s="33" t="s">
        <v>164</v>
      </c>
      <c r="C9" s="34" t="n">
        <f aca="false">IF(COUNT('Calibration Log'!Z7:Z26)=0,"n/a",AVERAGE('Calibration Log'!Z7:Z26))</f>
        <v>0.00428571428571432</v>
      </c>
      <c r="D9" s="34" t="n">
        <f aca="false">IF(COUNT('Calibration Log'!Z7:Z26)=0,"n/a",MAX(MAX('Calibration Log'!Z7:Z26),-MIN('Calibration Log'!Z7:Z26)))</f>
        <v>0.00428571428571432</v>
      </c>
      <c r="E9" s="33" t="n">
        <f aca="false">COUNT('Calibration Log'!Z7:Z26)</f>
        <v>1</v>
      </c>
    </row>
    <row r="10" customFormat="false" ht="15" hidden="false" customHeight="false" outlineLevel="0" collapsed="false">
      <c r="A10" s="33" t="s">
        <v>167</v>
      </c>
      <c r="B10" s="33" t="s">
        <v>165</v>
      </c>
      <c r="C10" s="34" t="n">
        <f aca="false">IF(COUNT('Calibration Log'!AA7:AA26)=0,"n/a",AVERAGE('Calibration Log'!AA7:AA26))</f>
        <v>-0.0172000000000001</v>
      </c>
      <c r="D10" s="34" t="n">
        <f aca="false">IF(COUNT('Calibration Log'!AA7:AA26)=0,"n/a",MAX(MAX('Calibration Log'!AA7:AA26),-MIN('Calibration Log'!AA7:AA26)))</f>
        <v>0.0172000000000001</v>
      </c>
      <c r="E10" s="33" t="n">
        <f aca="false">COUNT('Calibration Log'!AA7:AA26)</f>
        <v>1</v>
      </c>
    </row>
    <row r="11" customFormat="false" ht="15" hidden="false" customHeight="false" outlineLevel="0" collapsed="false">
      <c r="A11" s="33" t="s">
        <v>167</v>
      </c>
      <c r="B11" s="33" t="s">
        <v>166</v>
      </c>
      <c r="C11" s="34" t="n">
        <f aca="false">IF(COUNT('Calibration Log'!AB7:AB26)=0,"n/a",AVERAGE('Calibration Log'!AB7:AB26))</f>
        <v>-0.0125</v>
      </c>
      <c r="D11" s="34" t="n">
        <f aca="false">IF(COUNT('Calibration Log'!AB7:AB26)=0,"n/a",MAX(MAX('Calibration Log'!AB7:AB26),-MIN('Calibration Log'!AB7:AB26)))</f>
        <v>0.0125</v>
      </c>
      <c r="E11" s="33" t="n">
        <f aca="false">COUNT('Calibration Log'!AB7:AB26)</f>
        <v>1</v>
      </c>
    </row>
    <row r="12" customFormat="false" ht="15" hidden="false" customHeight="false" outlineLevel="0" collapsed="false">
      <c r="A12" s="33" t="s">
        <v>168</v>
      </c>
      <c r="B12" s="33" t="s">
        <v>164</v>
      </c>
      <c r="C12" s="34" t="n">
        <f aca="false">IF(COUNT('Calibration Log'!AC7:AC26)=0,"n/a",AVERAGE('Calibration Log'!AC7:AC26))</f>
        <v>0.00285306704707567</v>
      </c>
      <c r="D12" s="34" t="n">
        <f aca="false">IF(COUNT('Calibration Log'!AC7:AC26)=0,"n/a",MAX(MAX('Calibration Log'!AC7:AC26),-MIN('Calibration Log'!AC7:AC26)))</f>
        <v>0.00285306704707567</v>
      </c>
      <c r="E12" s="33" t="n">
        <f aca="false">COUNT('Calibration Log'!AC7:AC26)</f>
        <v>1</v>
      </c>
    </row>
    <row r="13" customFormat="false" ht="15" hidden="false" customHeight="false" outlineLevel="0" collapsed="false">
      <c r="A13" s="33" t="s">
        <v>168</v>
      </c>
      <c r="B13" s="33" t="s">
        <v>165</v>
      </c>
      <c r="C13" s="34" t="n">
        <f aca="false">IF(COUNT('Calibration Log'!AD7:AD26)=0,"n/a",AVERAGE('Calibration Log'!AD7:AD26))</f>
        <v>-0.0173572228443449</v>
      </c>
      <c r="D13" s="34" t="n">
        <f aca="false">IF(COUNT('Calibration Log'!AD7:AD26)=0,"n/a",MAX(MAX('Calibration Log'!AD7:AD26),-MIN('Calibration Log'!AD7:AD26)))</f>
        <v>0.0173572228443449</v>
      </c>
      <c r="E13" s="33" t="n">
        <f aca="false">COUNT('Calibration Log'!AD7:AD26)</f>
        <v>1</v>
      </c>
    </row>
    <row r="14" customFormat="false" ht="15" hidden="false" customHeight="false" outlineLevel="0" collapsed="false">
      <c r="A14" s="33" t="s">
        <v>168</v>
      </c>
      <c r="B14" s="33" t="s">
        <v>166</v>
      </c>
      <c r="C14" s="34" t="n">
        <f aca="false">IF(COUNT('Calibration Log'!AE7:AE26)=0,"n/a",AVERAGE('Calibration Log'!AE7:AE26))</f>
        <v>-0.0136776657509249</v>
      </c>
      <c r="D14" s="34" t="n">
        <f aca="false">IF(COUNT('Calibration Log'!AE7:AE26)=0,"n/a",MAX(MAX('Calibration Log'!AE7:AE26),-MIN('Calibration Log'!AE7:AE26)))</f>
        <v>0.0136776657509249</v>
      </c>
      <c r="E14" s="33" t="n">
        <f aca="false">COUNT('Calibration Log'!AE7:AE26)</f>
        <v>1</v>
      </c>
    </row>
    <row r="15" customFormat="false" ht="15" hidden="false" customHeight="false" outlineLevel="0" collapsed="false">
      <c r="A15" s="33" t="s">
        <v>169</v>
      </c>
      <c r="B15" s="33" t="s">
        <v>164</v>
      </c>
      <c r="C15" s="34" t="n">
        <f aca="false">IF(COUNT('Calibration Log'!AF7:AF26)=0,"n/a",AVERAGE('Calibration Log'!AF7:AF26))</f>
        <v>0.00428571428571432</v>
      </c>
      <c r="D15" s="34" t="n">
        <f aca="false">IF(COUNT('Calibration Log'!AF7:AF26)=0,"n/a",MAX(MAX('Calibration Log'!AF7:AF26),-MIN('Calibration Log'!AF7:AF26)))</f>
        <v>0.00428571428571432</v>
      </c>
      <c r="E15" s="33" t="n">
        <f aca="false">COUNT('Calibration Log'!AF7:AF26)</f>
        <v>1</v>
      </c>
    </row>
    <row r="16" customFormat="false" ht="15" hidden="false" customHeight="false" outlineLevel="0" collapsed="false">
      <c r="A16" s="33" t="s">
        <v>169</v>
      </c>
      <c r="B16" s="33" t="s">
        <v>165</v>
      </c>
      <c r="C16" s="34" t="n">
        <f aca="false">IF(COUNT('Calibration Log'!AG7:AG26)=0,"n/a",AVERAGE('Calibration Log'!AG7:AG26))</f>
        <v>-0.0172000000000001</v>
      </c>
      <c r="D16" s="34" t="n">
        <f aca="false">IF(COUNT('Calibration Log'!AG7:AG26)=0,"n/a",MAX(MAX('Calibration Log'!AG7:AG26),-MIN('Calibration Log'!AG7:AG26)))</f>
        <v>0.0172000000000001</v>
      </c>
      <c r="E16" s="33" t="n">
        <f aca="false">COUNT('Calibration Log'!AG7:AG26)</f>
        <v>1</v>
      </c>
    </row>
    <row r="17" customFormat="false" ht="15" hidden="false" customHeight="false" outlineLevel="0" collapsed="false">
      <c r="A17" s="33" t="s">
        <v>169</v>
      </c>
      <c r="B17" s="33" t="s">
        <v>166</v>
      </c>
      <c r="C17" s="34" t="n">
        <f aca="false">IF(COUNT('Calibration Log'!AH7:AH26)=0,"n/a",AVERAGE('Calibration Log'!AH7:AH26))</f>
        <v>-0.0125</v>
      </c>
      <c r="D17" s="34" t="n">
        <f aca="false">IF(COUNT('Calibration Log'!AH7:AH26)=0,"n/a",MAX(MAX('Calibration Log'!AH7:AH26),-MIN('Calibration Log'!AH7:AH26)))</f>
        <v>0.0125</v>
      </c>
      <c r="E17" s="33" t="n">
        <f aca="false">COUNT('Calibration Log'!AH7:AH26)</f>
        <v>1</v>
      </c>
    </row>
    <row r="18" customFormat="false" ht="15" hidden="false" customHeight="false" outlineLevel="0" collapsed="false">
      <c r="A18" s="33" t="s">
        <v>170</v>
      </c>
      <c r="B18" s="33" t="s">
        <v>164</v>
      </c>
      <c r="C18" s="34" t="n">
        <f aca="false">IF(COUNT('Calibration Log'!AI7:AI26)=0,"n/a",AVERAGE('Calibration Log'!AI7:AI26))</f>
        <v>0.0014285714285714</v>
      </c>
      <c r="D18" s="34" t="n">
        <f aca="false">IF(COUNT('Calibration Log'!AI7:AI26)=0,"n/a",MAX(MAX('Calibration Log'!AI7:AI26),-MIN('Calibration Log'!AI7:AI26)))</f>
        <v>0.0014285714285714</v>
      </c>
      <c r="E18" s="33" t="n">
        <f aca="false">COUNT('Calibration Log'!AI7:AI26)</f>
        <v>1</v>
      </c>
    </row>
    <row r="19" customFormat="false" ht="15" hidden="false" customHeight="false" outlineLevel="0" collapsed="false">
      <c r="A19" s="33" t="s">
        <v>170</v>
      </c>
      <c r="B19" s="33" t="s">
        <v>165</v>
      </c>
      <c r="C19" s="34" t="n">
        <f aca="false">IF(COUNT('Calibration Log'!AJ7:AJ26)=0,"n/a",AVERAGE('Calibration Log'!AJ7:AJ26))</f>
        <v>0.0001599999999999</v>
      </c>
      <c r="D19" s="34" t="n">
        <f aca="false">IF(COUNT('Calibration Log'!AJ7:AJ26)=0,"n/a",MAX(MAX('Calibration Log'!AJ7:AJ26),-MIN('Calibration Log'!AJ7:AJ26)))</f>
        <v>0.0001599999999999</v>
      </c>
      <c r="E19" s="33" t="n">
        <f aca="false">COUNT('Calibration Log'!AJ7:AJ26)</f>
        <v>1</v>
      </c>
    </row>
    <row r="20" customFormat="false" ht="15" hidden="false" customHeight="false" outlineLevel="0" collapsed="false">
      <c r="A20" s="33" t="s">
        <v>170</v>
      </c>
      <c r="B20" s="33" t="s">
        <v>166</v>
      </c>
      <c r="C20" s="34" t="n">
        <f aca="false">IF(COUNT('Calibration Log'!AK7:AK26)=0,"n/a",AVERAGE('Calibration Log'!AK7:AK26))</f>
        <v>0.00119399684061852</v>
      </c>
      <c r="D20" s="34" t="n">
        <f aca="false">IF(COUNT('Calibration Log'!AK7:AK26)=0,"n/a",MAX(MAX('Calibration Log'!AK7:AK26),-MIN('Calibration Log'!AK7:AK26)))</f>
        <v>0.00119399684061852</v>
      </c>
      <c r="E20" s="33" t="n">
        <f aca="false">COUNT('Calibration Log'!AK7:AK26)</f>
        <v>1</v>
      </c>
    </row>
    <row r="22" customFormat="false" ht="15" hidden="false" customHeight="false" outlineLevel="0" collapsed="false">
      <c r="A22" s="3" t="s">
        <v>171</v>
      </c>
    </row>
    <row r="23" customFormat="false" ht="15" hidden="false" customHeight="false" outlineLevel="0" collapsed="false">
      <c r="A23" s="2" t="s">
        <v>172</v>
      </c>
      <c r="B23" s="2"/>
      <c r="C23" s="2" t="n">
        <f aca="false">COUNTIF('Calibration Log'!AM7:AM26,"PASS")</f>
        <v>1</v>
      </c>
      <c r="D23" s="2"/>
      <c r="E23" s="2"/>
    </row>
    <row r="24" customFormat="false" ht="15" hidden="false" customHeight="false" outlineLevel="0" collapsed="false">
      <c r="A24" s="2" t="s">
        <v>173</v>
      </c>
      <c r="B24" s="2"/>
      <c r="C24" s="2" t="n">
        <f aca="false">COUNTIF('Calibration Log'!AM7:AM26,"FAIL")</f>
        <v>0</v>
      </c>
      <c r="D24" s="2"/>
      <c r="E24" s="2"/>
    </row>
    <row r="25" customFormat="false" ht="15" hidden="false" customHeight="false" outlineLevel="0" collapsed="false">
      <c r="A25" s="2" t="s">
        <v>174</v>
      </c>
      <c r="B25" s="2"/>
      <c r="C25" s="2" t="n">
        <f aca="false">COUNTIF('Calibration Log'!AL7:AL26,"CHECK")</f>
        <v>0</v>
      </c>
      <c r="D25" s="2"/>
      <c r="E25" s="2"/>
    </row>
    <row r="27" customFormat="false" ht="15" hidden="false" customHeight="false" outlineLevel="0" collapsed="false">
      <c r="A27" s="4" t="s">
        <v>175</v>
      </c>
      <c r="B27" s="4"/>
      <c r="C27" s="4"/>
      <c r="D27" s="4"/>
      <c r="E27" s="4"/>
    </row>
    <row r="28" customFormat="false" ht="15" hidden="false" customHeight="false" outlineLevel="0" collapsed="false">
      <c r="A28" s="5" t="s">
        <v>39</v>
      </c>
      <c r="B28" s="5" t="s">
        <v>176</v>
      </c>
      <c r="C28" s="5" t="s">
        <v>177</v>
      </c>
      <c r="D28" s="5" t="s">
        <v>178</v>
      </c>
      <c r="E28" s="5" t="s">
        <v>162</v>
      </c>
    </row>
    <row r="29" customFormat="false" ht="15" hidden="false" customHeight="false" outlineLevel="0" collapsed="false">
      <c r="A29" s="33" t="s">
        <v>44</v>
      </c>
      <c r="B29" s="33" t="n">
        <f aca="false">Setup!$B$27</f>
        <v>10926</v>
      </c>
      <c r="C29" s="35" t="n">
        <f aca="false">IF(COUNT('Calibration Log'!AN7:AN26)=0,"n/a",AVERAGE('Calibration Log'!AN7:AN26))</f>
        <v>0.997155049786629</v>
      </c>
      <c r="D29" s="33" t="n">
        <f aca="false">IF(ISNUMBER(C29),ROUND(B29*C29,0),"n/a")</f>
        <v>10895</v>
      </c>
      <c r="E29" s="33" t="n">
        <f aca="false">COUNT('Calibration Log'!AN7:AN26)</f>
        <v>1</v>
      </c>
    </row>
    <row r="30" customFormat="false" ht="15" hidden="false" customHeight="false" outlineLevel="0" collapsed="false">
      <c r="A30" s="33" t="s">
        <v>47</v>
      </c>
      <c r="B30" s="33" t="n">
        <f aca="false">Setup!$B$28</f>
        <v>3877</v>
      </c>
      <c r="C30" s="35" t="n">
        <f aca="false">IF(COUNT('Calibration Log'!AO7:AO26)=0,"n/a",AVERAGE('Calibration Log'!AO7:AO26))</f>
        <v>1.01766381766382</v>
      </c>
      <c r="D30" s="33" t="n">
        <f aca="false">IF(ISNUMBER(C30),ROUND(B30*C30,0),"n/a")</f>
        <v>3945</v>
      </c>
      <c r="E30" s="33" t="n">
        <f aca="false">COUNT('Calibration Log'!AO7:AO26)</f>
        <v>1</v>
      </c>
    </row>
    <row r="31" customFormat="false" ht="15" hidden="false" customHeight="false" outlineLevel="0" collapsed="false">
      <c r="A31" s="33" t="s">
        <v>50</v>
      </c>
      <c r="B31" s="33" t="n">
        <f aca="false">Setup!$B$29</f>
        <v>4236</v>
      </c>
      <c r="C31" s="35" t="n">
        <f aca="false">IF(COUNT('Calibration Log'!AP7:AP26)=0,"n/a",AVERAGE('Calibration Log'!AP7:AP26))</f>
        <v>1.01386733857278</v>
      </c>
      <c r="D31" s="33" t="n">
        <f aca="false">IF(ISNUMBER(C31),ROUND(B31*C31,0),"n/a")</f>
        <v>4295</v>
      </c>
      <c r="E31" s="33" t="n">
        <f aca="false">COUNT('Calibration Log'!AP7:AP26)</f>
        <v>1</v>
      </c>
    </row>
    <row r="33" customFormat="false" ht="15" hidden="false" customHeight="false" outlineLevel="0" collapsed="false">
      <c r="A33" s="2" t="s">
        <v>179</v>
      </c>
      <c r="B33" s="2"/>
      <c r="C33" s="2"/>
      <c r="D33" s="36" t="n">
        <f aca="false">Setup!B39</f>
        <v>422</v>
      </c>
      <c r="E33" s="2"/>
    </row>
    <row r="34" customFormat="false" ht="15" hidden="false" customHeight="false" outlineLevel="0" collapsed="false">
      <c r="A34" s="2" t="s">
        <v>180</v>
      </c>
      <c r="B34" s="2"/>
      <c r="C34" s="37" t="n">
        <f aca="false">IF(AND(ISNUMBER(C29),ISNUMBER(C30),ISNUMBER(C31)),C29*C30/C31,"n/a")</f>
        <v>1.00088894884128</v>
      </c>
      <c r="D34" s="2" t="str">
        <f aca="false">IF(ISNUMBER(C34),IF(ABS(C34-1)&gt;0.02,"V x I does not explain P: suspect V/I sample skew or phase","consistent"),"")</f>
        <v>consistent</v>
      </c>
      <c r="E34" s="2"/>
    </row>
    <row r="35" customFormat="false" ht="15" hidden="false" customHeight="false" outlineLevel="0" collapsed="false">
      <c r="A35" s="2" t="s">
        <v>181</v>
      </c>
      <c r="B35" s="2"/>
      <c r="C35" s="2"/>
      <c r="D35" s="2"/>
      <c r="E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2026-10-18T01:03:53Z</dcterms:created>
  <dc:creator>openpyxl</dc:creator>
  <dc:description/>
  <dc:language>en-US</dc:language>
  <cp:lastModifiedBy/>
  <dcterms:modified xsi:type="dcterms:W3CDTF">2026-10-18T01:04:01Z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