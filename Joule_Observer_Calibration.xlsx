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ch143\Downloads\209\Joule_Observer34\"/>
    </mc:Choice>
  </mc:AlternateContent>
  <xr:revisionPtr revIDLastSave="0" documentId="13_ncr:1_{C9AD80EB-F6F4-4A75-A0AE-C200538F5C7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etup" sheetId="1" r:id="rId1"/>
    <sheet name="Calibration Log" sheetId="2" r:id="rId2"/>
    <sheet name="Energy" sheetId="3" r:id="rId3"/>
    <sheet name="Summary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P20" i="2" l="1"/>
  <c r="AN20" i="2"/>
  <c r="AK20" i="2"/>
  <c r="AH20" i="2"/>
  <c r="AE20" i="2"/>
  <c r="AB20" i="2"/>
  <c r="Y20" i="2"/>
  <c r="V20" i="2"/>
  <c r="W20" i="2" s="1"/>
  <c r="U20" i="2"/>
  <c r="T20" i="2"/>
  <c r="AJ20" i="2" s="1"/>
  <c r="S20" i="2"/>
  <c r="AI20" i="2" s="1"/>
  <c r="R20" i="2"/>
  <c r="AP19" i="2"/>
  <c r="AN19" i="2"/>
  <c r="AK19" i="2"/>
  <c r="AE19" i="2"/>
  <c r="AB19" i="2"/>
  <c r="Y19" i="2"/>
  <c r="V19" i="2"/>
  <c r="W19" i="2" s="1"/>
  <c r="U19" i="2"/>
  <c r="Z19" i="2" s="1"/>
  <c r="T19" i="2"/>
  <c r="AD19" i="2" s="1"/>
  <c r="S19" i="2"/>
  <c r="AI19" i="2" s="1"/>
  <c r="R19" i="2"/>
  <c r="AH19" i="2" s="1"/>
  <c r="AQ18" i="2"/>
  <c r="AP18" i="2"/>
  <c r="AN18" i="2"/>
  <c r="AH18" i="2"/>
  <c r="AE18" i="2"/>
  <c r="AB18" i="2"/>
  <c r="Y18" i="2"/>
  <c r="V18" i="2"/>
  <c r="W18" i="2" s="1"/>
  <c r="U18" i="2"/>
  <c r="Z18" i="2" s="1"/>
  <c r="T18" i="2"/>
  <c r="AJ18" i="2" s="1"/>
  <c r="S18" i="2"/>
  <c r="AI18" i="2" s="1"/>
  <c r="R18" i="2"/>
  <c r="AK18" i="2" s="1"/>
  <c r="AP17" i="2"/>
  <c r="AN17" i="2"/>
  <c r="AH17" i="2"/>
  <c r="AE17" i="2"/>
  <c r="Y17" i="2"/>
  <c r="V17" i="2"/>
  <c r="W17" i="2" s="1"/>
  <c r="U17" i="2"/>
  <c r="Z17" i="2" s="1"/>
  <c r="T17" i="2"/>
  <c r="AD17" i="2" s="1"/>
  <c r="S17" i="2"/>
  <c r="AC17" i="2" s="1"/>
  <c r="R17" i="2"/>
  <c r="AB17" i="2" s="1"/>
  <c r="B31" i="4"/>
  <c r="B30" i="4"/>
  <c r="B29" i="4"/>
  <c r="H15" i="3"/>
  <c r="G15" i="3"/>
  <c r="J14" i="3"/>
  <c r="H14" i="3"/>
  <c r="K14" i="3" s="1"/>
  <c r="G14" i="3"/>
  <c r="J13" i="3"/>
  <c r="H13" i="3"/>
  <c r="G13" i="3"/>
  <c r="K13" i="3" s="1"/>
  <c r="H12" i="3"/>
  <c r="G12" i="3"/>
  <c r="J12" i="3" s="1"/>
  <c r="K11" i="3"/>
  <c r="H11" i="3"/>
  <c r="G11" i="3"/>
  <c r="J11" i="3" s="1"/>
  <c r="H10" i="3"/>
  <c r="G10" i="3"/>
  <c r="K9" i="3"/>
  <c r="J9" i="3"/>
  <c r="I9" i="3"/>
  <c r="H9" i="3"/>
  <c r="G9" i="3"/>
  <c r="H8" i="3"/>
  <c r="G8" i="3"/>
  <c r="K8" i="3" s="1"/>
  <c r="H7" i="3"/>
  <c r="G7" i="3"/>
  <c r="H6" i="3"/>
  <c r="G6" i="3"/>
  <c r="K6" i="3" s="1"/>
  <c r="AP26" i="2"/>
  <c r="AN26" i="2"/>
  <c r="AE26" i="2"/>
  <c r="Y26" i="2"/>
  <c r="V26" i="2"/>
  <c r="W26" i="2" s="1"/>
  <c r="U26" i="2"/>
  <c r="AF26" i="2" s="1"/>
  <c r="T26" i="2"/>
  <c r="AJ26" i="2" s="1"/>
  <c r="S26" i="2"/>
  <c r="R26" i="2"/>
  <c r="AP25" i="2"/>
  <c r="AN25" i="2"/>
  <c r="AE25" i="2"/>
  <c r="Y25" i="2"/>
  <c r="V25" i="2"/>
  <c r="W25" i="2" s="1"/>
  <c r="U25" i="2"/>
  <c r="AQ25" i="2" s="1"/>
  <c r="T25" i="2"/>
  <c r="S25" i="2"/>
  <c r="AI25" i="2" s="1"/>
  <c r="R25" i="2"/>
  <c r="AP24" i="2"/>
  <c r="AN24" i="2"/>
  <c r="AE24" i="2"/>
  <c r="Y24" i="2"/>
  <c r="V24" i="2"/>
  <c r="W24" i="2" s="1"/>
  <c r="U24" i="2"/>
  <c r="AF24" i="2" s="1"/>
  <c r="T24" i="2"/>
  <c r="S24" i="2"/>
  <c r="AI24" i="2" s="1"/>
  <c r="R24" i="2"/>
  <c r="AK24" i="2" s="1"/>
  <c r="AP23" i="2"/>
  <c r="AN23" i="2"/>
  <c r="AE23" i="2"/>
  <c r="Y23" i="2"/>
  <c r="V23" i="2"/>
  <c r="W23" i="2" s="1"/>
  <c r="U23" i="2"/>
  <c r="AQ23" i="2" s="1"/>
  <c r="T23" i="2"/>
  <c r="AD23" i="2" s="1"/>
  <c r="S23" i="2"/>
  <c r="AC23" i="2" s="1"/>
  <c r="R23" i="2"/>
  <c r="AH23" i="2" s="1"/>
  <c r="AP22" i="2"/>
  <c r="AN22" i="2"/>
  <c r="AE22" i="2"/>
  <c r="Y22" i="2"/>
  <c r="V22" i="2"/>
  <c r="W22" i="2" s="1"/>
  <c r="U22" i="2"/>
  <c r="T22" i="2"/>
  <c r="AJ22" i="2" s="1"/>
  <c r="S22" i="2"/>
  <c r="AI22" i="2" s="1"/>
  <c r="R22" i="2"/>
  <c r="AK22" i="2" s="1"/>
  <c r="AP21" i="2"/>
  <c r="AN21" i="2"/>
  <c r="AE21" i="2"/>
  <c r="Y21" i="2"/>
  <c r="V21" i="2"/>
  <c r="W21" i="2" s="1"/>
  <c r="U21" i="2"/>
  <c r="Z21" i="2" s="1"/>
  <c r="T21" i="2"/>
  <c r="AJ21" i="2" s="1"/>
  <c r="S21" i="2"/>
  <c r="AC21" i="2" s="1"/>
  <c r="R21" i="2"/>
  <c r="AB21" i="2" s="1"/>
  <c r="AP16" i="2"/>
  <c r="AN16" i="2"/>
  <c r="AE16" i="2"/>
  <c r="Y16" i="2"/>
  <c r="V16" i="2"/>
  <c r="W16" i="2" s="1"/>
  <c r="U16" i="2"/>
  <c r="Z16" i="2" s="1"/>
  <c r="T16" i="2"/>
  <c r="S16" i="2"/>
  <c r="AI16" i="2" s="1"/>
  <c r="R16" i="2"/>
  <c r="AK16" i="2" s="1"/>
  <c r="AP11" i="2"/>
  <c r="AN11" i="2"/>
  <c r="AE11" i="2"/>
  <c r="Y11" i="2"/>
  <c r="V11" i="2"/>
  <c r="W11" i="2" s="1"/>
  <c r="U11" i="2"/>
  <c r="AQ11" i="2" s="1"/>
  <c r="T11" i="2"/>
  <c r="AD11" i="2" s="1"/>
  <c r="S11" i="2"/>
  <c r="AC11" i="2" s="1"/>
  <c r="R11" i="2"/>
  <c r="AH11" i="2" s="1"/>
  <c r="AP10" i="2"/>
  <c r="AN10" i="2"/>
  <c r="AE10" i="2"/>
  <c r="Y10" i="2"/>
  <c r="V10" i="2"/>
  <c r="W10" i="2" s="1"/>
  <c r="U10" i="2"/>
  <c r="AF10" i="2" s="1"/>
  <c r="T10" i="2"/>
  <c r="S10" i="2"/>
  <c r="R10" i="2"/>
  <c r="AP9" i="2"/>
  <c r="AN9" i="2"/>
  <c r="AE9" i="2"/>
  <c r="Y9" i="2"/>
  <c r="V9" i="2"/>
  <c r="W9" i="2" s="1"/>
  <c r="U9" i="2"/>
  <c r="AQ9" i="2" s="1"/>
  <c r="T9" i="2"/>
  <c r="AJ9" i="2" s="1"/>
  <c r="S9" i="2"/>
  <c r="AI9" i="2" s="1"/>
  <c r="R9" i="2"/>
  <c r="AP8" i="2"/>
  <c r="AN8" i="2"/>
  <c r="AE8" i="2"/>
  <c r="Y8" i="2"/>
  <c r="V8" i="2"/>
  <c r="W8" i="2" s="1"/>
  <c r="U8" i="2"/>
  <c r="AF8" i="2" s="1"/>
  <c r="T8" i="2"/>
  <c r="S8" i="2"/>
  <c r="AI8" i="2" s="1"/>
  <c r="R8" i="2"/>
  <c r="AH8" i="2" s="1"/>
  <c r="AP7" i="2"/>
  <c r="AN7" i="2"/>
  <c r="AE7" i="2"/>
  <c r="Y7" i="2"/>
  <c r="V7" i="2"/>
  <c r="W7" i="2" s="1"/>
  <c r="U7" i="2"/>
  <c r="AQ7" i="2" s="1"/>
  <c r="T7" i="2"/>
  <c r="AJ7" i="2" s="1"/>
  <c r="S7" i="2"/>
  <c r="AC7" i="2" s="1"/>
  <c r="R7" i="2"/>
  <c r="AH7" i="2" s="1"/>
  <c r="B45" i="1"/>
  <c r="B44" i="1"/>
  <c r="B43" i="1"/>
  <c r="B38" i="1"/>
  <c r="B39" i="1" s="1"/>
  <c r="D33" i="4" s="1"/>
  <c r="B37" i="1"/>
  <c r="B41" i="1" s="1"/>
  <c r="AF17" i="2" l="1"/>
  <c r="AQ17" i="2"/>
  <c r="AF18" i="2"/>
  <c r="X19" i="2"/>
  <c r="AF19" i="2"/>
  <c r="AQ19" i="2"/>
  <c r="AJ19" i="2"/>
  <c r="AL19" i="2"/>
  <c r="AC18" i="2"/>
  <c r="AD18" i="2"/>
  <c r="AD20" i="2"/>
  <c r="AJ17" i="2"/>
  <c r="AC20" i="2"/>
  <c r="AC19" i="2"/>
  <c r="AO19" i="2"/>
  <c r="AA19" i="2"/>
  <c r="AR19" i="2"/>
  <c r="AM19" i="2"/>
  <c r="AG19" i="2"/>
  <c r="X20" i="2"/>
  <c r="AI17" i="2"/>
  <c r="Z20" i="2"/>
  <c r="AK17" i="2"/>
  <c r="AL17" i="2"/>
  <c r="AL18" i="2"/>
  <c r="AF20" i="2"/>
  <c r="X18" i="2"/>
  <c r="AQ20" i="2"/>
  <c r="AL20" i="2"/>
  <c r="X17" i="2"/>
  <c r="AL22" i="2"/>
  <c r="X7" i="2"/>
  <c r="AA7" i="2" s="1"/>
  <c r="AQ22" i="2"/>
  <c r="X23" i="2"/>
  <c r="AM23" i="2" s="1"/>
  <c r="X22" i="2"/>
  <c r="AA22" i="2" s="1"/>
  <c r="AJ23" i="2"/>
  <c r="AL23" i="2"/>
  <c r="AC25" i="2"/>
  <c r="AB7" i="2"/>
  <c r="AI11" i="2"/>
  <c r="AI23" i="2"/>
  <c r="AJ11" i="2"/>
  <c r="AD7" i="2"/>
  <c r="AL11" i="2"/>
  <c r="AI7" i="2"/>
  <c r="Z22" i="2"/>
  <c r="AK7" i="2"/>
  <c r="AC22" i="2"/>
  <c r="X11" i="2"/>
  <c r="AG11" i="2" s="1"/>
  <c r="Z11" i="2"/>
  <c r="Z7" i="2"/>
  <c r="AF11" i="2"/>
  <c r="AC9" i="2"/>
  <c r="AK11" i="2"/>
  <c r="AK23" i="2"/>
  <c r="AB22" i="2"/>
  <c r="AL7" i="2"/>
  <c r="AD22" i="2"/>
  <c r="AF22" i="2"/>
  <c r="AH22" i="2"/>
  <c r="E29" i="4"/>
  <c r="AD21" i="2"/>
  <c r="AC24" i="2"/>
  <c r="AC16" i="2"/>
  <c r="AI21" i="2"/>
  <c r="AH16" i="2"/>
  <c r="AF21" i="2"/>
  <c r="AB24" i="2"/>
  <c r="Z26" i="2"/>
  <c r="AQ10" i="2"/>
  <c r="AH24" i="2"/>
  <c r="AQ26" i="2"/>
  <c r="AB16" i="2"/>
  <c r="AH21" i="2"/>
  <c r="AQ21" i="2"/>
  <c r="Z23" i="2"/>
  <c r="Z10" i="2"/>
  <c r="AB23" i="2"/>
  <c r="C25" i="4"/>
  <c r="D12" i="4"/>
  <c r="E12" i="4"/>
  <c r="C29" i="4"/>
  <c r="D29" i="4" s="1"/>
  <c r="AK8" i="2"/>
  <c r="AB8" i="2"/>
  <c r="AC8" i="2"/>
  <c r="I14" i="3"/>
  <c r="K7" i="3"/>
  <c r="J7" i="3"/>
  <c r="I7" i="3"/>
  <c r="B47" i="1"/>
  <c r="AJ8" i="2"/>
  <c r="AD8" i="2"/>
  <c r="K15" i="3"/>
  <c r="J15" i="3"/>
  <c r="I15" i="3"/>
  <c r="B48" i="1"/>
  <c r="AQ8" i="2"/>
  <c r="AL8" i="2"/>
  <c r="AD9" i="2"/>
  <c r="AJ24" i="2"/>
  <c r="AD24" i="2"/>
  <c r="AJ16" i="2"/>
  <c r="AD16" i="2"/>
  <c r="AQ24" i="2"/>
  <c r="AL24" i="2"/>
  <c r="Z24" i="2"/>
  <c r="X8" i="2"/>
  <c r="AQ16" i="2"/>
  <c r="AL16" i="2"/>
  <c r="Z8" i="2"/>
  <c r="X24" i="2"/>
  <c r="AO24" i="2" s="1"/>
  <c r="X16" i="2"/>
  <c r="AO16" i="2" s="1"/>
  <c r="AK26" i="2"/>
  <c r="AH26" i="2"/>
  <c r="AB26" i="2"/>
  <c r="C12" i="4"/>
  <c r="AJ25" i="2"/>
  <c r="AD25" i="2"/>
  <c r="AL9" i="2"/>
  <c r="AF9" i="2"/>
  <c r="Z9" i="2"/>
  <c r="X9" i="2"/>
  <c r="AO9" i="2" s="1"/>
  <c r="AG7" i="2"/>
  <c r="AK10" i="2"/>
  <c r="AH10" i="2"/>
  <c r="AB10" i="2"/>
  <c r="AL25" i="2"/>
  <c r="AF25" i="2"/>
  <c r="Z25" i="2"/>
  <c r="X25" i="2"/>
  <c r="AO25" i="2" s="1"/>
  <c r="K10" i="3"/>
  <c r="J10" i="3"/>
  <c r="AI10" i="2"/>
  <c r="AC10" i="2"/>
  <c r="I10" i="3"/>
  <c r="AJ10" i="2"/>
  <c r="AD10" i="2"/>
  <c r="AK9" i="2"/>
  <c r="AH9" i="2"/>
  <c r="AB9" i="2"/>
  <c r="AL10" i="2"/>
  <c r="AK25" i="2"/>
  <c r="AH25" i="2"/>
  <c r="AB25" i="2"/>
  <c r="AI26" i="2"/>
  <c r="AC26" i="2"/>
  <c r="E6" i="4"/>
  <c r="D6" i="4"/>
  <c r="C6" i="4"/>
  <c r="AF16" i="2"/>
  <c r="AL26" i="2"/>
  <c r="AK21" i="2"/>
  <c r="AF7" i="2"/>
  <c r="AL21" i="2"/>
  <c r="AF23" i="2"/>
  <c r="I6" i="3"/>
  <c r="B40" i="1"/>
  <c r="B42" i="1" s="1"/>
  <c r="X10" i="2"/>
  <c r="X26" i="2"/>
  <c r="J6" i="3"/>
  <c r="I11" i="3"/>
  <c r="AB11" i="2"/>
  <c r="K12" i="3"/>
  <c r="X21" i="2"/>
  <c r="I8" i="3"/>
  <c r="J8" i="3"/>
  <c r="I13" i="3"/>
  <c r="I12" i="3"/>
  <c r="AD26" i="2"/>
  <c r="AR18" i="2" l="1"/>
  <c r="AO18" i="2"/>
  <c r="AM18" i="2"/>
  <c r="AA18" i="2"/>
  <c r="AG18" i="2"/>
  <c r="AR17" i="2"/>
  <c r="AA17" i="2"/>
  <c r="AM17" i="2"/>
  <c r="AG17" i="2"/>
  <c r="AO17" i="2"/>
  <c r="AR20" i="2"/>
  <c r="AM20" i="2"/>
  <c r="AG20" i="2"/>
  <c r="AA20" i="2"/>
  <c r="AO20" i="2"/>
  <c r="AM7" i="2"/>
  <c r="AR22" i="2"/>
  <c r="AR7" i="2"/>
  <c r="AO7" i="2"/>
  <c r="AG22" i="2"/>
  <c r="AO22" i="2"/>
  <c r="AM22" i="2"/>
  <c r="AM11" i="2"/>
  <c r="AR23" i="2"/>
  <c r="AO11" i="2"/>
  <c r="AR11" i="2"/>
  <c r="AA11" i="2"/>
  <c r="AA23" i="2"/>
  <c r="AG23" i="2"/>
  <c r="AO23" i="2"/>
  <c r="E7" i="4"/>
  <c r="C7" i="4"/>
  <c r="E10" i="4"/>
  <c r="E18" i="4"/>
  <c r="C30" i="4"/>
  <c r="D30" i="4" s="1"/>
  <c r="E16" i="4"/>
  <c r="D10" i="4"/>
  <c r="D7" i="4"/>
  <c r="C17" i="4"/>
  <c r="D9" i="4"/>
  <c r="D18" i="4"/>
  <c r="AG10" i="2"/>
  <c r="AM10" i="2"/>
  <c r="AA10" i="2"/>
  <c r="AR10" i="2"/>
  <c r="AO10" i="2"/>
  <c r="E30" i="4"/>
  <c r="C18" i="4"/>
  <c r="E13" i="4"/>
  <c r="D13" i="4"/>
  <c r="C13" i="4"/>
  <c r="C15" i="4"/>
  <c r="E11" i="4"/>
  <c r="D11" i="4"/>
  <c r="C11" i="4"/>
  <c r="AA21" i="2"/>
  <c r="AR21" i="2"/>
  <c r="AM21" i="2"/>
  <c r="AO21" i="2"/>
  <c r="AG21" i="2"/>
  <c r="C10" i="4"/>
  <c r="AM9" i="2"/>
  <c r="AG9" i="2"/>
  <c r="AA9" i="2"/>
  <c r="AR9" i="2"/>
  <c r="E17" i="4"/>
  <c r="AM8" i="2"/>
  <c r="AA8" i="2"/>
  <c r="AG8" i="2"/>
  <c r="AR8" i="2"/>
  <c r="D17" i="4"/>
  <c r="C16" i="4"/>
  <c r="D16" i="4"/>
  <c r="AG24" i="2"/>
  <c r="AM24" i="2"/>
  <c r="AA24" i="2"/>
  <c r="AR24" i="2"/>
  <c r="E9" i="4"/>
  <c r="E15" i="4"/>
  <c r="C19" i="4"/>
  <c r="E19" i="4"/>
  <c r="D19" i="4"/>
  <c r="AM25" i="2"/>
  <c r="AG25" i="2"/>
  <c r="AA25" i="2"/>
  <c r="AR25" i="2"/>
  <c r="C9" i="4"/>
  <c r="AG16" i="2"/>
  <c r="AM16" i="2"/>
  <c r="AA16" i="2"/>
  <c r="AR16" i="2"/>
  <c r="D15" i="4"/>
  <c r="B46" i="1"/>
  <c r="AG26" i="2"/>
  <c r="AA26" i="2"/>
  <c r="AR26" i="2"/>
  <c r="AO26" i="2"/>
  <c r="AM26" i="2"/>
  <c r="AO8" i="2"/>
  <c r="C23" i="4" l="1"/>
  <c r="D8" i="4"/>
  <c r="C31" i="4"/>
  <c r="D31" i="4" s="1"/>
  <c r="E31" i="4"/>
  <c r="C14" i="4"/>
  <c r="D20" i="4"/>
  <c r="E14" i="4"/>
  <c r="E20" i="4"/>
  <c r="D14" i="4"/>
  <c r="C8" i="4"/>
  <c r="E8" i="4"/>
  <c r="C24" i="4"/>
  <c r="C20" i="4"/>
  <c r="C34" i="4" l="1"/>
  <c r="D34" i="4" s="1"/>
</calcChain>
</file>

<file path=xl/sharedStrings.xml><?xml version="1.0" encoding="utf-8"?>
<sst xmlns="http://schemas.openxmlformats.org/spreadsheetml/2006/main" count="245" uniqueCount="191">
  <si>
    <t>Joule Observer: calibration workbook</t>
  </si>
  <si>
    <t>Compare device display and website against the oscilloscope, then against theory. Team 34, ELECTENG 209.</t>
  </si>
  <si>
    <t>HOW TO USE</t>
  </si>
  <si>
    <t>1. Yellow cells with blue text are inputs. Grey cells are formulas, do not overwrite them.</t>
  </si>
  <si>
    <t>2. Set the load, then fill one row per test on 'Calibration Log'. Row 7 is an EXAMPLE: overwrite it.</t>
  </si>
  <si>
    <t>3. Scope: Vrms of the source, Vrms across the shunt (mV), and the V-to-I time delay (us, positive = current lags).</t>
  </si>
  <si>
    <t>4. Display and website columns: type what you read. Website shows V (2 dp), I (mA), P in W (2 dp). It has no energy field.</t>
  </si>
  <si>
    <t>5. 'Summary' gives average and worst-case error per comparison and recommended new scale constants for calcs.h.</t>
  </si>
  <si>
    <t>6. 'Energy' is a separate timed test (display energy is whole mWh, so run long enough).</t>
  </si>
  <si>
    <t>Measurement constants</t>
  </si>
  <si>
    <t>Item</t>
  </si>
  <si>
    <t>Value</t>
  </si>
  <si>
    <t>Unit</t>
  </si>
  <si>
    <t>Source / note</t>
  </si>
  <si>
    <t>Shunt resistance</t>
  </si>
  <si>
    <t>ohm</t>
  </si>
  <si>
    <t>analogue/MASTER_SCHEMATIC_EE209.asc, 0.5 ohm shunt (calcs.h). Measure the real one with a meter and overwrite.</t>
  </si>
  <si>
    <t>Nominal frequency</t>
  </si>
  <si>
    <t>Hz</t>
  </si>
  <si>
    <t>README spec: 14 Vrms, 500 Hz</t>
  </si>
  <si>
    <t>Accuracy spec</t>
  </si>
  <si>
    <t>% of full scale</t>
  </si>
  <si>
    <t>README spec table: +/-5% of full scale</t>
  </si>
  <si>
    <t>Full scale Vrms</t>
  </si>
  <si>
    <t>V</t>
  </si>
  <si>
    <t>ASSUMPTION: 14 V +10% (README source tolerance). Change if the team defines it differently.</t>
  </si>
  <si>
    <t>Full scale Irms</t>
  </si>
  <si>
    <t>mA</t>
  </si>
  <si>
    <t>ASSUMPTION: 7.5 VA / 12.6 V (largest load at lowest source voltage).</t>
  </si>
  <si>
    <t>Full scale power</t>
  </si>
  <si>
    <t>mW</t>
  </si>
  <si>
    <t>ASSUMPTION: 7.5 VA upper load limit, rounded.</t>
  </si>
  <si>
    <t>Display vs website tolerance, V</t>
  </si>
  <si>
    <t>Website shows 2 dp, so 0.01 V is rounding only.</t>
  </si>
  <si>
    <t>Display vs website tolerance, I</t>
  </si>
  <si>
    <t>Website shows whole mA.</t>
  </si>
  <si>
    <t>Display vs website tolerance, P</t>
  </si>
  <si>
    <t>Website shows W to 2 dp, so 10 mW is rounding only.</t>
  </si>
  <si>
    <t>Firmware constants (copy from calcs.h / what is flashed)</t>
  </si>
  <si>
    <t>Constant</t>
  </si>
  <si>
    <t>Meaning</t>
  </si>
  <si>
    <t>ADC_OFFSET_COUNTS</t>
  </si>
  <si>
    <t>counts</t>
  </si>
  <si>
    <t>Bias level subtracted from each sample (2.0625 V / 5 V x 1024)</t>
  </si>
  <si>
    <t>V_MV_PER_COUNT_X100</t>
  </si>
  <si>
    <t>x100 mV/count</t>
  </si>
  <si>
    <t>109.26 mV of source voltage per ADC count</t>
  </si>
  <si>
    <t>I_MA_PER_COUNT_X1000</t>
  </si>
  <si>
    <t>x1000 mA/count</t>
  </si>
  <si>
    <t>3.877 mA of load current per ADC count</t>
  </si>
  <si>
    <t>P_MW_PER_COUNT2_X10000</t>
  </si>
  <si>
    <t>x10000 mW/count^2</t>
  </si>
  <si>
    <t>0.4236 mW per count x count</t>
  </si>
  <si>
    <t>ADC and front-end check</t>
  </si>
  <si>
    <t>Measured AVCC (ADC reference)</t>
  </si>
  <si>
    <t>Measure on the board with a meter. 5.000 is the nominal placeholder.</t>
  </si>
  <si>
    <t>Measured bias node (VREF) at ADC pin, no signal</t>
  </si>
  <si>
    <t>Measure at PC0/PC1 with the source off. 2.0625 is the LTspice value, so overwrite it.</t>
  </si>
  <si>
    <t>Voltage channel gain</t>
  </si>
  <si>
    <t>V/V</t>
  </si>
  <si>
    <t>From calcs.h comment (divider x difference amp). Check against the LTspice model.</t>
  </si>
  <si>
    <t>Current channel gain</t>
  </si>
  <si>
    <t>mV per mA</t>
  </si>
  <si>
    <t>From calcs.h comment (0.5 ohm x 2.5185).</t>
  </si>
  <si>
    <t>ADC step (1 LSB)</t>
  </si>
  <si>
    <t>mV</t>
  </si>
  <si>
    <t>AVCC / 1024</t>
  </si>
  <si>
    <t>Bias level in counts (measured)</t>
  </si>
  <si>
    <t>Compare with ADC_OFFSET_COUNTS</t>
  </si>
  <si>
    <t>Recommended ADC_OFFSET_COUNTS</t>
  </si>
  <si>
    <t>Use this if it differs from the flashed value</t>
  </si>
  <si>
    <t>Theoretical voltage scale</t>
  </si>
  <si>
    <t>mV/count</t>
  </si>
  <si>
    <t>LSB / V gain</t>
  </si>
  <si>
    <t>Theoretical current scale</t>
  </si>
  <si>
    <t>mA/count</t>
  </si>
  <si>
    <t>LSB / I gain</t>
  </si>
  <si>
    <t>Theoretical power scale</t>
  </si>
  <si>
    <t>mW/count^2</t>
  </si>
  <si>
    <t>mV x mA / 1000</t>
  </si>
  <si>
    <t>Firmware voltage scale</t>
  </si>
  <si>
    <t>Firmware current scale</t>
  </si>
  <si>
    <t>Firmware power scale</t>
  </si>
  <si>
    <t>Firmware vs theory, voltage</t>
  </si>
  <si>
    <t>%</t>
  </si>
  <si>
    <t>Non-zero = AVCC or gain differs from the assumption</t>
  </si>
  <si>
    <t>Firmware vs theory, current</t>
  </si>
  <si>
    <t>Firmware vs theory, power</t>
  </si>
  <si>
    <t>Calibration log: display / website vs oscilloscope vs theory</t>
  </si>
  <si>
    <t>One row per test. Errors are (measured - reference) / reference. Pass/fail is on % of full scale (Setup B16). Row 7 is an example.</t>
  </si>
  <si>
    <t>THEORY INPUTS</t>
  </si>
  <si>
    <t>OSCILLOSCOPE</t>
  </si>
  <si>
    <t>DEVICE DISPLAY</t>
  </si>
  <si>
    <t>WEBSITE</t>
  </si>
  <si>
    <t>THEORY (calculated)</t>
  </si>
  <si>
    <t>SCOPE (calculated)</t>
  </si>
  <si>
    <t>ERROR vs SCOPE and THEORY (%)</t>
  </si>
  <si>
    <t>CHECKS</t>
  </si>
  <si>
    <t>CORRECTION RATIOS</t>
  </si>
  <si>
    <t>Test #</t>
  </si>
  <si>
    <t>Load setting / notes</t>
  </si>
  <si>
    <t>Source Vrms (V)</t>
  </si>
  <si>
    <t>Load S (VA)</t>
  </si>
  <si>
    <t>Nominal PF</t>
  </si>
  <si>
    <t>Scope Vrms (V)</t>
  </si>
  <si>
    <t>Scope shunt Vrms (mV)</t>
  </si>
  <si>
    <t>Scope V-I delay (us)</t>
  </si>
  <si>
    <t>Scope freq (Hz)</t>
  </si>
  <si>
    <t>Display Vrms (V)</t>
  </si>
  <si>
    <t>Display Irms (mA)</t>
  </si>
  <si>
    <t>Display P (mW)</t>
  </si>
  <si>
    <t>Website Vrms (V)</t>
  </si>
  <si>
    <t>Website Irms (mA)</t>
  </si>
  <si>
    <t>Website P (W)</t>
  </si>
  <si>
    <t>Theory Vrms (V)</t>
  </si>
  <si>
    <t>Theory Irms (mA)</t>
  </si>
  <si>
    <t>Theory P (mW)</t>
  </si>
  <si>
    <t>Scope Irms (mA)</t>
  </si>
  <si>
    <t>Scope phase (deg)</t>
  </si>
  <si>
    <t>Scope PF</t>
  </si>
  <si>
    <t>Scope P (mW)</t>
  </si>
  <si>
    <t>Disp vs Scope: V</t>
  </si>
  <si>
    <t>Disp vs Scope: I</t>
  </si>
  <si>
    <t>Disp vs Scope: P</t>
  </si>
  <si>
    <t>Disp vs Theory: V</t>
  </si>
  <si>
    <t>Disp vs Theory: I</t>
  </si>
  <si>
    <t>Disp vs Theory: P</t>
  </si>
  <si>
    <t>Web vs Scope: V</t>
  </si>
  <si>
    <t>Web vs Scope: I</t>
  </si>
  <si>
    <t>Web vs Scope: P</t>
  </si>
  <si>
    <t>Web vs Theory: V</t>
  </si>
  <si>
    <t>Web vs Theory: I</t>
  </si>
  <si>
    <t>Web vs Theory: P</t>
  </si>
  <si>
    <t>Scope vs Theory: V</t>
  </si>
  <si>
    <t>Scope vs Theory: I</t>
  </si>
  <si>
    <t>Scope vs Theory: P</t>
  </si>
  <si>
    <t>Display = Website?</t>
  </si>
  <si>
    <t>Display vs Scope (% FS spec)</t>
  </si>
  <si>
    <t>Ratio Scope/Disp: V</t>
  </si>
  <si>
    <t>Ratio Scope/Disp: I</t>
  </si>
  <si>
    <t>Ratio Scope/Disp: P</t>
  </si>
  <si>
    <t>EXAMPLE: 5 VA, PF 0.8. Overwrite</t>
  </si>
  <si>
    <t>Energy test: display energy change over a timed run</t>
  </si>
  <si>
    <t>Hold a steady load, note display energy, wait, note again. Display energy is whole mWh, so allow +/-1 mWh of quantisation. The website has no energy field. Row 6 is an example.</t>
  </si>
  <si>
    <t>Power (mW) (scope or Log)</t>
  </si>
  <si>
    <t>Interval (s)</t>
  </si>
  <si>
    <t>Display energy start (mWh)</t>
  </si>
  <si>
    <t>Display energy end (mWh)</t>
  </si>
  <si>
    <t>Theory dE (mWh)</t>
  </si>
  <si>
    <t>Display dE (mWh)</t>
  </si>
  <si>
    <t>Error (%)</t>
  </si>
  <si>
    <t>Quantisation +/-1 mWh (% of theory)</t>
  </si>
  <si>
    <t>Result</t>
  </si>
  <si>
    <t>EXAMPLE: 4 W for 10 min. Overwrite</t>
  </si>
  <si>
    <t>Result rule (assumption): pass if |display dE - theory dE| &lt;= 1 mWh + spec % x theory dE. Spec % is Setup B16.</t>
  </si>
  <si>
    <t>Summary</t>
  </si>
  <si>
    <t>Average and worst-case error across the filled-in rows of 'Calibration Log'. Blank until you enter data.</t>
  </si>
  <si>
    <t>Error by comparison</t>
  </si>
  <si>
    <t>Comparison</t>
  </si>
  <si>
    <t>Quantity</t>
  </si>
  <si>
    <t>Average error</t>
  </si>
  <si>
    <t>Worst |error|</t>
  </si>
  <si>
    <t>Rows used</t>
  </si>
  <si>
    <t>Display vs Scope</t>
  </si>
  <si>
    <t>Vrms</t>
  </si>
  <si>
    <t>Irms</t>
  </si>
  <si>
    <t>Power</t>
  </si>
  <si>
    <t>Display vs Theory</t>
  </si>
  <si>
    <t>Website vs Scope</t>
  </si>
  <si>
    <t>Website vs Theory</t>
  </si>
  <si>
    <t>Scope vs Theory</t>
  </si>
  <si>
    <t>Display vs Scope, pass/fail (% of full scale)</t>
  </si>
  <si>
    <t>PASS rows</t>
  </si>
  <si>
    <t>FAIL rows</t>
  </si>
  <si>
    <t>Display / website mismatches (CHECK)</t>
  </si>
  <si>
    <t>Recommended scale constants for calcs.h (average of Scope / Display)</t>
  </si>
  <si>
    <t>Flashed value</t>
  </si>
  <si>
    <t>Avg correction ratio</t>
  </si>
  <si>
    <t>Recommended value</t>
  </si>
  <si>
    <t>Offset: recommended ADC_OFFSET_COUNTS (from measured bias, Setup)</t>
  </si>
  <si>
    <t>Check: V ratio x I ratio vs P ratio</t>
  </si>
  <si>
    <t>Ratio = scope reading / display reading. Fix V and I first, then re-check P. Apply new constants, reflash, then repeat the tests.</t>
  </si>
  <si>
    <t>measurement across load</t>
  </si>
  <si>
    <t>DC Input</t>
  </si>
  <si>
    <t>20V</t>
  </si>
  <si>
    <t>21V</t>
  </si>
  <si>
    <t>22V</t>
  </si>
  <si>
    <t>23V</t>
  </si>
  <si>
    <t>26V</t>
  </si>
  <si>
    <t>29V</t>
  </si>
  <si>
    <t>32V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</si>
</sst>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"/>
    <numFmt numFmtId="166" formatCode="0.0%"/>
    <numFmt numFmtId="167" formatCode="0.00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F2F2F2"/>
      </patternFill>
    </fill>
    <fill>
      <patternFill patternType="solid">
        <fgColor rgb="FFD9D9D9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3" fillId="0" borderId="0" xfId="0" applyFont="1" applyAlignment="1">
      <alignment horizontal="center" vertical="center" wrapText="1"/>
    </xf>
    <xf numFmtId="0" fontId="5" fillId="3" borderId="0" xfId="0" applyFont="1" applyFill="1"/>
    <xf numFmtId="164" fontId="2" fillId="4" borderId="0" xfId="0" applyNumberFormat="1" applyFont="1" applyFill="1"/>
    <xf numFmtId="165" fontId="2" fillId="4" borderId="0" xfId="0" applyNumberFormat="1" applyFont="1" applyFill="1"/>
    <xf numFmtId="1" fontId="2" fillId="4" borderId="0" xfId="0" applyNumberFormat="1" applyFont="1" applyFill="1"/>
    <xf numFmtId="166" fontId="2" fillId="4" borderId="0" xfId="0" applyNumberFormat="1" applyFont="1" applyFill="1"/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5" fillId="3" borderId="1" xfId="0" applyFont="1" applyFill="1" applyBorder="1"/>
    <xf numFmtId="167" fontId="5" fillId="3" borderId="1" xfId="0" applyNumberFormat="1" applyFont="1" applyFill="1" applyBorder="1"/>
    <xf numFmtId="2" fontId="5" fillId="3" borderId="1" xfId="0" applyNumberFormat="1" applyFont="1" applyFill="1" applyBorder="1"/>
    <xf numFmtId="165" fontId="5" fillId="3" borderId="1" xfId="0" applyNumberFormat="1" applyFont="1" applyFill="1" applyBorder="1"/>
    <xf numFmtId="167" fontId="2" fillId="4" borderId="1" xfId="0" applyNumberFormat="1" applyFont="1" applyFill="1" applyBorder="1"/>
    <xf numFmtId="165" fontId="2" fillId="4" borderId="1" xfId="0" applyNumberFormat="1" applyFont="1" applyFill="1" applyBorder="1"/>
    <xf numFmtId="166" fontId="2" fillId="4" borderId="1" xfId="0" applyNumberFormat="1" applyFont="1" applyFill="1" applyBorder="1"/>
    <xf numFmtId="0" fontId="2" fillId="4" borderId="1" xfId="0" applyFont="1" applyFill="1" applyBorder="1" applyAlignment="1">
      <alignment horizontal="center" vertical="center" wrapText="1"/>
    </xf>
    <xf numFmtId="1" fontId="5" fillId="3" borderId="1" xfId="0" applyNumberFormat="1" applyFont="1" applyFill="1" applyBorder="1"/>
    <xf numFmtId="1" fontId="2" fillId="4" borderId="1" xfId="0" applyNumberFormat="1" applyFont="1" applyFill="1" applyBorder="1"/>
    <xf numFmtId="0" fontId="2" fillId="4" borderId="1" xfId="0" applyFont="1" applyFill="1" applyBorder="1"/>
    <xf numFmtId="0" fontId="2" fillId="0" borderId="1" xfId="0" applyFont="1" applyBorder="1"/>
    <xf numFmtId="166" fontId="2" fillId="0" borderId="1" xfId="0" applyNumberFormat="1" applyFont="1" applyBorder="1"/>
    <xf numFmtId="164" fontId="2" fillId="0" borderId="1" xfId="0" applyNumberFormat="1" applyFont="1" applyBorder="1"/>
    <xf numFmtId="1" fontId="2" fillId="0" borderId="0" xfId="0" applyNumberFormat="1" applyFont="1"/>
    <xf numFmtId="167" fontId="2" fillId="0" borderId="0" xfId="0" applyNumberFormat="1" applyFont="1"/>
  </cellXfs>
  <cellStyles count="1">
    <cellStyle name="Normal" xfId="0" builtinId="0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CE4D6"/>
      <rgbColor rgb="FFF2F2F2"/>
      <rgbColor rgb="FFFFC7CE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Display vs Scope error per test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'Calibration Log'!$Y$6</c:f>
              <c:strCache>
                <c:ptCount val="1"/>
                <c:pt idx="0">
                  <c:v>Disp vs Scope: V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'Calibration Log'!$A$7:$A$26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'Calibration Log'!$Y$7:$Y$26</c:f>
              <c:numCache>
                <c:formatCode>0.0%</c:formatCode>
                <c:ptCount val="20"/>
                <c:pt idx="0">
                  <c:v>2.8530670470756723E-3</c:v>
                </c:pt>
                <c:pt idx="1">
                  <c:v>1.7872886110443131E-2</c:v>
                </c:pt>
                <c:pt idx="2">
                  <c:v>9.5433393800773269E-3</c:v>
                </c:pt>
                <c:pt idx="3">
                  <c:v>3.9691804809712941E-3</c:v>
                </c:pt>
                <c:pt idx="4">
                  <c:v>1.1583011583011612E-2</c:v>
                </c:pt>
                <c:pt idx="9">
                  <c:v>0</c:v>
                </c:pt>
                <c:pt idx="10">
                  <c:v>7.692307692307665E-3</c:v>
                </c:pt>
                <c:pt idx="11">
                  <c:v>1.1406844106463905E-2</c:v>
                </c:pt>
                <c:pt idx="12">
                  <c:v>9.796533534287926E-3</c:v>
                </c:pt>
                <c:pt idx="13">
                  <c:v>1.1235955056179803E-2</c:v>
                </c:pt>
                <c:pt idx="14">
                  <c:v>1.2472487160674976E-2</c:v>
                </c:pt>
                <c:pt idx="15">
                  <c:v>1.375814627081821E-2</c:v>
                </c:pt>
                <c:pt idx="16">
                  <c:v>1.2203876525484561E-2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84-40FE-931A-1FBC143FC4F4}"/>
            </c:ext>
          </c:extLst>
        </c:ser>
        <c:ser>
          <c:idx val="1"/>
          <c:order val="1"/>
          <c:tx>
            <c:strRef>
              <c:f>'Calibration Log'!$Z$6</c:f>
              <c:strCache>
                <c:ptCount val="1"/>
                <c:pt idx="0">
                  <c:v>Disp vs Scope: 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'Calibration Log'!$A$7:$A$26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'Calibration Log'!$Z$7:$Z$26</c:f>
              <c:numCache>
                <c:formatCode>0.0%</c:formatCode>
                <c:ptCount val="20"/>
                <c:pt idx="0">
                  <c:v>-1.7357222844344874E-2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84-40FE-931A-1FBC143FC4F4}"/>
            </c:ext>
          </c:extLst>
        </c:ser>
        <c:ser>
          <c:idx val="2"/>
          <c:order val="2"/>
          <c:tx>
            <c:strRef>
              <c:f>'Calibration Log'!$AA$6</c:f>
              <c:strCache>
                <c:ptCount val="1"/>
                <c:pt idx="0">
                  <c:v>Disp vs Scope: P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'Calibration Log'!$A$7:$A$26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'Calibration Log'!$AA$7:$AA$26</c:f>
              <c:numCache>
                <c:formatCode>0.0%</c:formatCode>
                <c:ptCount val="20"/>
                <c:pt idx="0">
                  <c:v>-1.3677665750924883E-2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84-40FE-931A-1FBC143F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695858"/>
        <c:axId val="25672692"/>
      </c:barChart>
      <c:catAx>
        <c:axId val="556958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Test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5672692"/>
        <c:crosses val="autoZero"/>
        <c:auto val="1"/>
        <c:lblAlgn val="ctr"/>
        <c:lblOffset val="100"/>
        <c:noMultiLvlLbl val="0"/>
      </c:catAx>
      <c:valAx>
        <c:axId val="25672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Error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56958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160920</xdr:rowOff>
    </xdr:from>
    <xdr:to>
      <xdr:col>16</xdr:col>
      <xdr:colOff>364680</xdr:colOff>
      <xdr:row>17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topLeftCell="A18" zoomScaleNormal="100" workbookViewId="0"/>
  </sheetViews>
  <sheetFormatPr defaultColWidth="8.7109375" defaultRowHeight="15" x14ac:dyDescent="0.25"/>
  <cols>
    <col min="1" max="1" width="46" customWidth="1"/>
    <col min="2" max="2" width="14" customWidth="1"/>
    <col min="3" max="3" width="18" customWidth="1"/>
    <col min="4" max="4" width="90" customWidth="1"/>
  </cols>
  <sheetData>
    <row r="1" spans="1:4" ht="18" x14ac:dyDescent="0.25">
      <c r="A1" s="6" t="s">
        <v>0</v>
      </c>
    </row>
    <row r="2" spans="1:4" x14ac:dyDescent="0.25">
      <c r="A2" s="7" t="s">
        <v>1</v>
      </c>
    </row>
    <row r="4" spans="1:4" x14ac:dyDescent="0.25">
      <c r="A4" s="8" t="s">
        <v>2</v>
      </c>
    </row>
    <row r="5" spans="1:4" x14ac:dyDescent="0.25">
      <c r="A5" s="7" t="s">
        <v>3</v>
      </c>
    </row>
    <row r="6" spans="1:4" x14ac:dyDescent="0.25">
      <c r="A6" s="7" t="s">
        <v>4</v>
      </c>
    </row>
    <row r="7" spans="1:4" x14ac:dyDescent="0.25">
      <c r="A7" s="7" t="s">
        <v>5</v>
      </c>
    </row>
    <row r="8" spans="1:4" x14ac:dyDescent="0.25">
      <c r="A8" s="7" t="s">
        <v>6</v>
      </c>
    </row>
    <row r="9" spans="1:4" x14ac:dyDescent="0.25">
      <c r="A9" s="7" t="s">
        <v>7</v>
      </c>
    </row>
    <row r="10" spans="1:4" x14ac:dyDescent="0.25">
      <c r="A10" s="7" t="s">
        <v>8</v>
      </c>
    </row>
    <row r="12" spans="1:4" x14ac:dyDescent="0.25">
      <c r="A12" s="9" t="s">
        <v>9</v>
      </c>
      <c r="B12" s="9"/>
      <c r="C12" s="9"/>
      <c r="D12" s="9"/>
    </row>
    <row r="13" spans="1:4" x14ac:dyDescent="0.25">
      <c r="A13" s="10" t="s">
        <v>10</v>
      </c>
      <c r="B13" s="10" t="s">
        <v>11</v>
      </c>
      <c r="C13" s="10" t="s">
        <v>12</v>
      </c>
      <c r="D13" s="10" t="s">
        <v>13</v>
      </c>
    </row>
    <row r="14" spans="1:4" x14ac:dyDescent="0.25">
      <c r="A14" s="7" t="s">
        <v>14</v>
      </c>
      <c r="B14" s="11">
        <v>0.5</v>
      </c>
      <c r="C14" s="7" t="s">
        <v>15</v>
      </c>
      <c r="D14" s="7" t="s">
        <v>16</v>
      </c>
    </row>
    <row r="15" spans="1:4" x14ac:dyDescent="0.25">
      <c r="A15" s="7" t="s">
        <v>17</v>
      </c>
      <c r="B15" s="11">
        <v>500</v>
      </c>
      <c r="C15" s="7" t="s">
        <v>18</v>
      </c>
      <c r="D15" s="7" t="s">
        <v>19</v>
      </c>
    </row>
    <row r="16" spans="1:4" x14ac:dyDescent="0.25">
      <c r="A16" s="7" t="s">
        <v>20</v>
      </c>
      <c r="B16" s="11">
        <v>5</v>
      </c>
      <c r="C16" s="7" t="s">
        <v>21</v>
      </c>
      <c r="D16" s="7" t="s">
        <v>22</v>
      </c>
    </row>
    <row r="17" spans="1:4" x14ac:dyDescent="0.25">
      <c r="A17" s="7" t="s">
        <v>23</v>
      </c>
      <c r="B17" s="11">
        <v>15.4</v>
      </c>
      <c r="C17" s="7" t="s">
        <v>24</v>
      </c>
      <c r="D17" s="7" t="s">
        <v>25</v>
      </c>
    </row>
    <row r="18" spans="1:4" x14ac:dyDescent="0.25">
      <c r="A18" s="7" t="s">
        <v>26</v>
      </c>
      <c r="B18" s="11">
        <v>595</v>
      </c>
      <c r="C18" s="7" t="s">
        <v>27</v>
      </c>
      <c r="D18" s="7" t="s">
        <v>28</v>
      </c>
    </row>
    <row r="19" spans="1:4" x14ac:dyDescent="0.25">
      <c r="A19" s="7" t="s">
        <v>29</v>
      </c>
      <c r="B19" s="11">
        <v>7500</v>
      </c>
      <c r="C19" s="7" t="s">
        <v>30</v>
      </c>
      <c r="D19" s="7" t="s">
        <v>31</v>
      </c>
    </row>
    <row r="20" spans="1:4" x14ac:dyDescent="0.25">
      <c r="A20" s="7" t="s">
        <v>32</v>
      </c>
      <c r="B20" s="11">
        <v>0.01</v>
      </c>
      <c r="C20" s="7" t="s">
        <v>24</v>
      </c>
      <c r="D20" s="7" t="s">
        <v>33</v>
      </c>
    </row>
    <row r="21" spans="1:4" x14ac:dyDescent="0.25">
      <c r="A21" s="7" t="s">
        <v>34</v>
      </c>
      <c r="B21" s="11">
        <v>1</v>
      </c>
      <c r="C21" s="7" t="s">
        <v>27</v>
      </c>
      <c r="D21" s="7" t="s">
        <v>35</v>
      </c>
    </row>
    <row r="22" spans="1:4" x14ac:dyDescent="0.25">
      <c r="A22" s="7" t="s">
        <v>36</v>
      </c>
      <c r="B22" s="11">
        <v>10</v>
      </c>
      <c r="C22" s="7" t="s">
        <v>30</v>
      </c>
      <c r="D22" s="7" t="s">
        <v>37</v>
      </c>
    </row>
    <row r="23" spans="1:4" x14ac:dyDescent="0.25">
      <c r="A23" s="7"/>
      <c r="B23" s="7"/>
      <c r="C23" s="7"/>
      <c r="D23" s="7"/>
    </row>
    <row r="24" spans="1:4" x14ac:dyDescent="0.25">
      <c r="A24" s="9" t="s">
        <v>38</v>
      </c>
      <c r="B24" s="9"/>
      <c r="C24" s="9"/>
      <c r="D24" s="9"/>
    </row>
    <row r="25" spans="1:4" x14ac:dyDescent="0.25">
      <c r="A25" s="10" t="s">
        <v>39</v>
      </c>
      <c r="B25" s="10" t="s">
        <v>11</v>
      </c>
      <c r="C25" s="10" t="s">
        <v>12</v>
      </c>
      <c r="D25" s="10" t="s">
        <v>40</v>
      </c>
    </row>
    <row r="26" spans="1:4" x14ac:dyDescent="0.25">
      <c r="A26" s="7" t="s">
        <v>41</v>
      </c>
      <c r="B26" s="11">
        <v>422</v>
      </c>
      <c r="C26" s="7" t="s">
        <v>42</v>
      </c>
      <c r="D26" s="7" t="s">
        <v>43</v>
      </c>
    </row>
    <row r="27" spans="1:4" x14ac:dyDescent="0.25">
      <c r="A27" s="7" t="s">
        <v>44</v>
      </c>
      <c r="B27" s="11">
        <v>10926</v>
      </c>
      <c r="C27" s="7" t="s">
        <v>45</v>
      </c>
      <c r="D27" s="7" t="s">
        <v>46</v>
      </c>
    </row>
    <row r="28" spans="1:4" x14ac:dyDescent="0.25">
      <c r="A28" s="7" t="s">
        <v>47</v>
      </c>
      <c r="B28" s="11">
        <v>3877</v>
      </c>
      <c r="C28" s="7" t="s">
        <v>48</v>
      </c>
      <c r="D28" s="7" t="s">
        <v>49</v>
      </c>
    </row>
    <row r="29" spans="1:4" x14ac:dyDescent="0.25">
      <c r="A29" s="7" t="s">
        <v>50</v>
      </c>
      <c r="B29" s="11">
        <v>4236</v>
      </c>
      <c r="C29" s="7" t="s">
        <v>51</v>
      </c>
      <c r="D29" s="7" t="s">
        <v>52</v>
      </c>
    </row>
    <row r="30" spans="1:4" x14ac:dyDescent="0.25">
      <c r="A30" s="7"/>
      <c r="B30" s="7"/>
      <c r="C30" s="7"/>
      <c r="D30" s="7"/>
    </row>
    <row r="31" spans="1:4" x14ac:dyDescent="0.25">
      <c r="A31" s="9" t="s">
        <v>53</v>
      </c>
      <c r="B31" s="9"/>
      <c r="C31" s="9"/>
      <c r="D31" s="9"/>
    </row>
    <row r="32" spans="1:4" x14ac:dyDescent="0.25">
      <c r="A32" s="10" t="s">
        <v>10</v>
      </c>
      <c r="B32" s="10" t="s">
        <v>11</v>
      </c>
      <c r="C32" s="10" t="s">
        <v>12</v>
      </c>
      <c r="D32" s="10" t="s">
        <v>13</v>
      </c>
    </row>
    <row r="33" spans="1:4" x14ac:dyDescent="0.25">
      <c r="A33" s="7" t="s">
        <v>54</v>
      </c>
      <c r="B33" s="11">
        <v>5</v>
      </c>
      <c r="C33" s="7" t="s">
        <v>24</v>
      </c>
      <c r="D33" s="7" t="s">
        <v>55</v>
      </c>
    </row>
    <row r="34" spans="1:4" x14ac:dyDescent="0.25">
      <c r="A34" s="7" t="s">
        <v>56</v>
      </c>
      <c r="B34" s="11">
        <v>2.0625</v>
      </c>
      <c r="C34" s="7" t="s">
        <v>24</v>
      </c>
      <c r="D34" s="7" t="s">
        <v>57</v>
      </c>
    </row>
    <row r="35" spans="1:4" x14ac:dyDescent="0.25">
      <c r="A35" s="7" t="s">
        <v>58</v>
      </c>
      <c r="B35" s="11">
        <v>4.4690000000000001E-2</v>
      </c>
      <c r="C35" s="7" t="s">
        <v>59</v>
      </c>
      <c r="D35" s="7" t="s">
        <v>60</v>
      </c>
    </row>
    <row r="36" spans="1:4" x14ac:dyDescent="0.25">
      <c r="A36" s="7" t="s">
        <v>61</v>
      </c>
      <c r="B36" s="11">
        <v>1.2593000000000001</v>
      </c>
      <c r="C36" s="7" t="s">
        <v>62</v>
      </c>
      <c r="D36" s="7" t="s">
        <v>63</v>
      </c>
    </row>
    <row r="37" spans="1:4" x14ac:dyDescent="0.25">
      <c r="A37" s="7" t="s">
        <v>64</v>
      </c>
      <c r="B37" s="12">
        <f>B33/1024*1000</f>
        <v>4.8828125</v>
      </c>
      <c r="C37" s="7" t="s">
        <v>65</v>
      </c>
      <c r="D37" s="7" t="s">
        <v>66</v>
      </c>
    </row>
    <row r="38" spans="1:4" x14ac:dyDescent="0.25">
      <c r="A38" s="7" t="s">
        <v>67</v>
      </c>
      <c r="B38" s="13">
        <f>B34/B33*1024</f>
        <v>422.4</v>
      </c>
      <c r="C38" s="7" t="s">
        <v>42</v>
      </c>
      <c r="D38" s="7" t="s">
        <v>68</v>
      </c>
    </row>
    <row r="39" spans="1:4" x14ac:dyDescent="0.25">
      <c r="A39" s="7" t="s">
        <v>69</v>
      </c>
      <c r="B39" s="14">
        <f>ROUND(B38,0)</f>
        <v>422</v>
      </c>
      <c r="C39" s="7" t="s">
        <v>42</v>
      </c>
      <c r="D39" s="7" t="s">
        <v>70</v>
      </c>
    </row>
    <row r="40" spans="1:4" x14ac:dyDescent="0.25">
      <c r="A40" s="7" t="s">
        <v>71</v>
      </c>
      <c r="B40" s="12">
        <f>B37/B35</f>
        <v>109.25962183933765</v>
      </c>
      <c r="C40" s="7" t="s">
        <v>72</v>
      </c>
      <c r="D40" s="7" t="s">
        <v>73</v>
      </c>
    </row>
    <row r="41" spans="1:4" x14ac:dyDescent="0.25">
      <c r="A41" s="7" t="s">
        <v>74</v>
      </c>
      <c r="B41" s="12">
        <f>B37/B36</f>
        <v>3.8774021281664415</v>
      </c>
      <c r="C41" s="7" t="s">
        <v>75</v>
      </c>
      <c r="D41" s="7" t="s">
        <v>76</v>
      </c>
    </row>
    <row r="42" spans="1:4" x14ac:dyDescent="0.25">
      <c r="A42" s="7" t="s">
        <v>77</v>
      </c>
      <c r="B42" s="12">
        <f>B40*B41/1000</f>
        <v>0.42364349024250847</v>
      </c>
      <c r="C42" s="7" t="s">
        <v>78</v>
      </c>
      <c r="D42" s="7" t="s">
        <v>79</v>
      </c>
    </row>
    <row r="43" spans="1:4" x14ac:dyDescent="0.25">
      <c r="A43" s="7" t="s">
        <v>80</v>
      </c>
      <c r="B43" s="12">
        <f>B27/100</f>
        <v>109.26</v>
      </c>
      <c r="C43" s="7" t="s">
        <v>72</v>
      </c>
      <c r="D43" s="7"/>
    </row>
    <row r="44" spans="1:4" x14ac:dyDescent="0.25">
      <c r="A44" s="7" t="s">
        <v>81</v>
      </c>
      <c r="B44" s="12">
        <f>B28/1000</f>
        <v>3.8769999999999998</v>
      </c>
      <c r="C44" s="7" t="s">
        <v>75</v>
      </c>
      <c r="D44" s="7"/>
    </row>
    <row r="45" spans="1:4" x14ac:dyDescent="0.25">
      <c r="A45" s="7" t="s">
        <v>82</v>
      </c>
      <c r="B45" s="12">
        <f>B29/10000</f>
        <v>0.42359999999999998</v>
      </c>
      <c r="C45" s="7" t="s">
        <v>78</v>
      </c>
      <c r="D45" s="7"/>
    </row>
    <row r="46" spans="1:4" x14ac:dyDescent="0.25">
      <c r="A46" s="7" t="s">
        <v>83</v>
      </c>
      <c r="B46" s="15">
        <f>(B43-B40)/B40</f>
        <v>3.4611200000911195E-6</v>
      </c>
      <c r="C46" s="7" t="s">
        <v>84</v>
      </c>
      <c r="D46" s="7" t="s">
        <v>85</v>
      </c>
    </row>
    <row r="47" spans="1:4" x14ac:dyDescent="0.25">
      <c r="A47" s="7" t="s">
        <v>86</v>
      </c>
      <c r="B47" s="15">
        <f>(B44-B41)/B41</f>
        <v>-1.0371072000000553E-4</v>
      </c>
      <c r="C47" s="7" t="s">
        <v>84</v>
      </c>
      <c r="D47" s="7"/>
    </row>
    <row r="48" spans="1:4" x14ac:dyDescent="0.25">
      <c r="A48" s="7" t="s">
        <v>87</v>
      </c>
      <c r="B48" s="15">
        <f>(B45-B42)/B42</f>
        <v>-1.0265764377400748E-4</v>
      </c>
      <c r="C48" s="7" t="s">
        <v>84</v>
      </c>
      <c r="D48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26"/>
  <sheetViews>
    <sheetView tabSelected="1"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23" sqref="C23"/>
    </sheetView>
  </sheetViews>
  <sheetFormatPr defaultColWidth="8.7109375" defaultRowHeight="15" x14ac:dyDescent="0.25"/>
  <cols>
    <col min="1" max="1" width="7" customWidth="1"/>
    <col min="2" max="3" width="26" customWidth="1"/>
    <col min="4" max="5" width="11" customWidth="1"/>
    <col min="6" max="7" width="10" customWidth="1"/>
    <col min="8" max="8" width="11" customWidth="1"/>
    <col min="9" max="10" width="12" customWidth="1"/>
    <col min="11" max="11" width="10" customWidth="1"/>
    <col min="12" max="21" width="11" customWidth="1"/>
    <col min="22" max="22" width="10" customWidth="1"/>
    <col min="23" max="23" width="9" customWidth="1"/>
    <col min="24" max="24" width="11" customWidth="1"/>
    <col min="25" max="39" width="10" customWidth="1"/>
    <col min="40" max="40" width="11" customWidth="1"/>
    <col min="41" max="41" width="13" customWidth="1"/>
    <col min="42" max="44" width="11" customWidth="1"/>
  </cols>
  <sheetData>
    <row r="1" spans="1:44" ht="18" x14ac:dyDescent="0.25">
      <c r="A1" s="6" t="s">
        <v>88</v>
      </c>
    </row>
    <row r="2" spans="1:44" x14ac:dyDescent="0.25">
      <c r="A2" s="7" t="s">
        <v>89</v>
      </c>
    </row>
    <row r="4" spans="1:44" ht="15" customHeight="1" x14ac:dyDescent="0.25">
      <c r="A4" s="5" t="s">
        <v>90</v>
      </c>
      <c r="B4" s="5"/>
      <c r="C4" s="5"/>
      <c r="D4" s="5"/>
      <c r="E4" s="5"/>
      <c r="F4" s="5"/>
      <c r="G4" s="5"/>
      <c r="H4" s="4" t="s">
        <v>91</v>
      </c>
      <c r="I4" s="4"/>
      <c r="J4" s="4"/>
      <c r="K4" s="4"/>
      <c r="L4" s="3" t="s">
        <v>92</v>
      </c>
      <c r="M4" s="3"/>
      <c r="N4" s="3"/>
      <c r="O4" s="2" t="s">
        <v>93</v>
      </c>
      <c r="P4" s="2"/>
      <c r="Q4" s="2"/>
      <c r="R4" s="1" t="s">
        <v>94</v>
      </c>
      <c r="S4" s="1"/>
      <c r="T4" s="1"/>
      <c r="U4" s="1" t="s">
        <v>95</v>
      </c>
      <c r="V4" s="1"/>
      <c r="W4" s="1"/>
      <c r="X4" s="1"/>
      <c r="Y4" s="1" t="s">
        <v>96</v>
      </c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97</v>
      </c>
      <c r="AO4" s="1"/>
      <c r="AP4" s="1" t="s">
        <v>98</v>
      </c>
      <c r="AQ4" s="1"/>
      <c r="AR4" s="1"/>
    </row>
    <row r="6" spans="1:44" ht="43.5" customHeight="1" x14ac:dyDescent="0.25">
      <c r="A6" s="16" t="s">
        <v>99</v>
      </c>
      <c r="B6" s="16" t="s">
        <v>100</v>
      </c>
      <c r="C6" s="16" t="s">
        <v>183</v>
      </c>
      <c r="D6" s="16" t="s">
        <v>101</v>
      </c>
      <c r="E6" s="16" t="s">
        <v>182</v>
      </c>
      <c r="F6" s="16" t="s">
        <v>102</v>
      </c>
      <c r="G6" s="16" t="s">
        <v>103</v>
      </c>
      <c r="H6" s="17" t="s">
        <v>104</v>
      </c>
      <c r="I6" s="17" t="s">
        <v>105</v>
      </c>
      <c r="J6" s="17" t="s">
        <v>106</v>
      </c>
      <c r="K6" s="17" t="s">
        <v>107</v>
      </c>
      <c r="L6" s="18" t="s">
        <v>108</v>
      </c>
      <c r="M6" s="18" t="s">
        <v>109</v>
      </c>
      <c r="N6" s="18" t="s">
        <v>110</v>
      </c>
      <c r="O6" s="19" t="s">
        <v>111</v>
      </c>
      <c r="P6" s="19" t="s">
        <v>112</v>
      </c>
      <c r="Q6" s="19" t="s">
        <v>113</v>
      </c>
      <c r="R6" s="20" t="s">
        <v>114</v>
      </c>
      <c r="S6" s="20" t="s">
        <v>115</v>
      </c>
      <c r="T6" s="20" t="s">
        <v>116</v>
      </c>
      <c r="U6" s="20" t="s">
        <v>117</v>
      </c>
      <c r="V6" s="20" t="s">
        <v>118</v>
      </c>
      <c r="W6" s="20" t="s">
        <v>119</v>
      </c>
      <c r="X6" s="20" t="s">
        <v>120</v>
      </c>
      <c r="Y6" s="20" t="s">
        <v>121</v>
      </c>
      <c r="Z6" s="20" t="s">
        <v>122</v>
      </c>
      <c r="AA6" s="20" t="s">
        <v>123</v>
      </c>
      <c r="AB6" s="20" t="s">
        <v>124</v>
      </c>
      <c r="AC6" s="20" t="s">
        <v>125</v>
      </c>
      <c r="AD6" s="20" t="s">
        <v>126</v>
      </c>
      <c r="AE6" s="20" t="s">
        <v>127</v>
      </c>
      <c r="AF6" s="20" t="s">
        <v>128</v>
      </c>
      <c r="AG6" s="20" t="s">
        <v>129</v>
      </c>
      <c r="AH6" s="20" t="s">
        <v>130</v>
      </c>
      <c r="AI6" s="20" t="s">
        <v>131</v>
      </c>
      <c r="AJ6" s="20" t="s">
        <v>132</v>
      </c>
      <c r="AK6" s="20" t="s">
        <v>133</v>
      </c>
      <c r="AL6" s="20" t="s">
        <v>134</v>
      </c>
      <c r="AM6" s="20" t="s">
        <v>135</v>
      </c>
      <c r="AN6" s="20" t="s">
        <v>136</v>
      </c>
      <c r="AO6" s="20" t="s">
        <v>137</v>
      </c>
      <c r="AP6" s="20" t="s">
        <v>138</v>
      </c>
      <c r="AQ6" s="20" t="s">
        <v>139</v>
      </c>
      <c r="AR6" s="20" t="s">
        <v>140</v>
      </c>
    </row>
    <row r="7" spans="1:44" x14ac:dyDescent="0.25">
      <c r="A7" s="21">
        <v>1</v>
      </c>
      <c r="B7" s="22" t="s">
        <v>141</v>
      </c>
      <c r="C7" s="22"/>
      <c r="D7" s="23">
        <v>14</v>
      </c>
      <c r="E7" s="23"/>
      <c r="F7" s="24">
        <v>5</v>
      </c>
      <c r="G7" s="23">
        <v>0.8</v>
      </c>
      <c r="H7" s="23">
        <v>14.02</v>
      </c>
      <c r="I7" s="25">
        <v>178.6</v>
      </c>
      <c r="J7" s="25">
        <v>205</v>
      </c>
      <c r="K7" s="25">
        <v>500</v>
      </c>
      <c r="L7" s="23">
        <v>14.06</v>
      </c>
      <c r="M7" s="25">
        <v>351</v>
      </c>
      <c r="N7" s="25">
        <v>3950</v>
      </c>
      <c r="O7" s="23">
        <v>14.06</v>
      </c>
      <c r="P7" s="25">
        <v>351</v>
      </c>
      <c r="Q7" s="24">
        <v>3.95</v>
      </c>
      <c r="R7" s="26">
        <f t="shared" ref="R7:R26" si="0">IF(D7="","",D7)</f>
        <v>14</v>
      </c>
      <c r="S7" s="27">
        <f t="shared" ref="S7:S26" si="1">IF(OR(D7="",F7="",D7=0),"",F7/D7*1000)</f>
        <v>357.14285714285717</v>
      </c>
      <c r="T7" s="27">
        <f t="shared" ref="T7:T26" si="2">IF(OR(F7="",G7=""),"",F7*G7*1000)</f>
        <v>4000</v>
      </c>
      <c r="U7" s="27">
        <f>IF(I7="","",I7/Setup!$B$14)</f>
        <v>357.2</v>
      </c>
      <c r="V7" s="27">
        <f t="shared" ref="V7:V26" si="3">IF(OR(J7="",K7=""),"",360*K7*J7/1000000)</f>
        <v>36.9</v>
      </c>
      <c r="W7" s="26">
        <f t="shared" ref="W7:W26" si="4">IF(V7="","",COS(RADIANS(V7)))</f>
        <v>0.79968465848709058</v>
      </c>
      <c r="X7" s="27">
        <f t="shared" ref="X7:X26" si="5">IF(OR(H7="",U7="",W7=""),"",H7*U7*W7)</f>
        <v>4004.7759873624741</v>
      </c>
      <c r="Y7" s="28">
        <f t="shared" ref="Y7:Y26" si="6">IF(OR(L7="",H7=""),"",IF(H7=0,"",(L7-H7)/H7))</f>
        <v>2.8530670470756723E-3</v>
      </c>
      <c r="Z7" s="28">
        <f t="shared" ref="Z7:Z26" si="7">IF(OR(M7="",U7=""),"",IF(U7=0,"",(M7-U7)/U7))</f>
        <v>-1.7357222844344874E-2</v>
      </c>
      <c r="AA7" s="28">
        <f t="shared" ref="AA7:AA26" si="8">IF(OR(N7="",X7=""),"",IF(X7=0,"",(N7-X7)/X7))</f>
        <v>-1.3677665750924883E-2</v>
      </c>
      <c r="AB7" s="28">
        <f t="shared" ref="AB7:AB26" si="9">IF(OR(L7="",R7=""),"",IF(R7=0,"",(L7-R7)/R7))</f>
        <v>4.2857142857143215E-3</v>
      </c>
      <c r="AC7" s="28">
        <f t="shared" ref="AC7:AC26" si="10">IF(OR(M7="",S7=""),"",IF(S7=0,"",(M7-S7)/S7))</f>
        <v>-1.7200000000000066E-2</v>
      </c>
      <c r="AD7" s="28">
        <f t="shared" ref="AD7:AD26" si="11">IF(OR(N7="",T7=""),"",IF(T7=0,"",(N7-T7)/T7))</f>
        <v>-1.2500000000000001E-2</v>
      </c>
      <c r="AE7" s="28">
        <f t="shared" ref="AE7:AE26" si="12">IF(OR(O7="",H7=""),"",IF(H7=0,"",(O7-H7)/H7))</f>
        <v>2.8530670470756723E-3</v>
      </c>
      <c r="AF7" s="28">
        <f t="shared" ref="AF7:AF26" si="13">IF(OR(P7="",U7=""),"",IF(U7=0,"",(P7-U7)/U7))</f>
        <v>-1.7357222844344874E-2</v>
      </c>
      <c r="AG7" s="28">
        <f t="shared" ref="AG7:AG26" si="14">IF(OR(Q7="",X7=""),"",IF(X7=0,"",(Q7*1000-X7)/X7))</f>
        <v>-1.3677665750924883E-2</v>
      </c>
      <c r="AH7" s="28">
        <f t="shared" ref="AH7:AH26" si="15">IF(OR(O7="",R7=""),"",IF(R7=0,"",(O7-R7)/R7))</f>
        <v>4.2857142857143215E-3</v>
      </c>
      <c r="AI7" s="28">
        <f t="shared" ref="AI7:AI26" si="16">IF(OR(P7="",S7=""),"",IF(S7=0,"",(P7-S7)/S7))</f>
        <v>-1.7200000000000066E-2</v>
      </c>
      <c r="AJ7" s="28">
        <f t="shared" ref="AJ7:AJ26" si="17">IF(OR(Q7="",T7=""),"",IF(T7=0,"",(Q7*1000-T7)/T7))</f>
        <v>-1.2500000000000001E-2</v>
      </c>
      <c r="AK7" s="28">
        <f t="shared" ref="AK7:AK26" si="18">IF(OR(H7="",R7=""),"",IF(R7=0,"",(H7-R7)/R7))</f>
        <v>1.4285714285713982E-3</v>
      </c>
      <c r="AL7" s="28">
        <f t="shared" ref="AL7:AL26" si="19">IF(OR(U7="",S7=""),"",IF(S7=0,"",(U7-S7)/S7))</f>
        <v>1.5999999999989994E-4</v>
      </c>
      <c r="AM7" s="28">
        <f t="shared" ref="AM7:AM26" si="20">IF(OR(X7="",T7=""),"",IF(T7=0,"",(X7-T7)/T7))</f>
        <v>1.1939968406185243E-3</v>
      </c>
      <c r="AN7" s="29" t="str">
        <f>IF(OR(L7="",M7="",N7="",O7="",P7="",Q7=""),"",IF(AND(ABS(L7-O7)&lt;=Setup!$B$20,ABS(M7-P7)&lt;=Setup!$B$21,ABS(N7-Q7*1000)&lt;=Setup!$B$22),"OK","CHECK"))</f>
        <v>OK</v>
      </c>
      <c r="AO7" s="29" t="str">
        <f>IF(OR(L7="",M7="",N7="",H7="",U7="",X7=""),"",IF(AND(ABS(L7-H7)/Setup!$B$17&lt;=Setup!$B$16/100,ABS(M7-U7)/Setup!$B$18&lt;=Setup!$B$16/100,ABS(N7-X7)/Setup!$B$19&lt;=Setup!$B$16/100),"PASS","FAIL"))</f>
        <v>PASS</v>
      </c>
      <c r="AP7" s="26">
        <f t="shared" ref="AP7:AP26" si="21">IF(OR(H7="",L7="",L7=0),"",H7/L7)</f>
        <v>0.99715504978662872</v>
      </c>
      <c r="AQ7" s="26">
        <f t="shared" ref="AQ7:AQ26" si="22">IF(OR(U7="",M7="",M7=0),"",U7/M7)</f>
        <v>1.0176638176638175</v>
      </c>
      <c r="AR7" s="26">
        <f t="shared" ref="AR7:AR26" si="23">IF(OR(X7="",N7="",N7=0),"",X7/N7)</f>
        <v>1.0138673385727783</v>
      </c>
    </row>
    <row r="8" spans="1:44" x14ac:dyDescent="0.25">
      <c r="A8" s="21">
        <v>2</v>
      </c>
      <c r="B8" s="22"/>
      <c r="C8" s="22" t="s">
        <v>184</v>
      </c>
      <c r="D8" s="23">
        <v>12.46</v>
      </c>
      <c r="E8" s="23"/>
      <c r="F8" s="24">
        <v>7.5</v>
      </c>
      <c r="G8" s="23"/>
      <c r="H8" s="23">
        <v>12.477</v>
      </c>
      <c r="I8" s="25"/>
      <c r="J8" s="25"/>
      <c r="K8" s="25"/>
      <c r="L8" s="23">
        <v>12.7</v>
      </c>
      <c r="M8" s="25"/>
      <c r="N8" s="25"/>
      <c r="O8" s="23">
        <v>12.66</v>
      </c>
      <c r="P8" s="25"/>
      <c r="Q8" s="24"/>
      <c r="R8" s="26">
        <f t="shared" si="0"/>
        <v>12.46</v>
      </c>
      <c r="S8" s="27">
        <f t="shared" si="1"/>
        <v>601.92616372391649</v>
      </c>
      <c r="T8" s="27" t="str">
        <f t="shared" si="2"/>
        <v/>
      </c>
      <c r="U8" s="27" t="str">
        <f>IF(I8="","",I8/Setup!$B$14)</f>
        <v/>
      </c>
      <c r="V8" s="27" t="str">
        <f t="shared" si="3"/>
        <v/>
      </c>
      <c r="W8" s="26" t="str">
        <f t="shared" si="4"/>
        <v/>
      </c>
      <c r="X8" s="27" t="str">
        <f t="shared" si="5"/>
        <v/>
      </c>
      <c r="Y8" s="28">
        <f t="shared" si="6"/>
        <v>1.7872886110443131E-2</v>
      </c>
      <c r="Z8" s="28" t="str">
        <f t="shared" si="7"/>
        <v/>
      </c>
      <c r="AA8" s="28" t="str">
        <f t="shared" si="8"/>
        <v/>
      </c>
      <c r="AB8" s="28">
        <f t="shared" si="9"/>
        <v>1.9261637239165203E-2</v>
      </c>
      <c r="AC8" s="28" t="str">
        <f t="shared" si="10"/>
        <v/>
      </c>
      <c r="AD8" s="28" t="str">
        <f t="shared" si="11"/>
        <v/>
      </c>
      <c r="AE8" s="28">
        <f t="shared" si="12"/>
        <v>1.4666987256552041E-2</v>
      </c>
      <c r="AF8" s="28" t="str">
        <f t="shared" si="13"/>
        <v/>
      </c>
      <c r="AG8" s="28" t="str">
        <f t="shared" si="14"/>
        <v/>
      </c>
      <c r="AH8" s="28">
        <f t="shared" si="15"/>
        <v>1.6051364365971051E-2</v>
      </c>
      <c r="AI8" s="28" t="str">
        <f t="shared" si="16"/>
        <v/>
      </c>
      <c r="AJ8" s="28" t="str">
        <f t="shared" si="17"/>
        <v/>
      </c>
      <c r="AK8" s="28">
        <f t="shared" si="18"/>
        <v>1.3643659711075008E-3</v>
      </c>
      <c r="AL8" s="28" t="str">
        <f t="shared" si="19"/>
        <v/>
      </c>
      <c r="AM8" s="28" t="str">
        <f t="shared" si="20"/>
        <v/>
      </c>
      <c r="AN8" s="29" t="str">
        <f>IF(OR(L8="",M8="",N8="",O8="",P8="",Q8=""),"",IF(AND(ABS(L8-O8)&lt;=Setup!$B$20,ABS(M8-P8)&lt;=Setup!$B$21,ABS(N8-Q8*1000)&lt;=Setup!$B$22),"OK","CHECK"))</f>
        <v/>
      </c>
      <c r="AO8" s="29" t="str">
        <f>IF(OR(L8="",M8="",N8="",H8="",U8="",X8=""),"",IF(AND(ABS(L8-H8)/Setup!$B$17&lt;=Setup!$B$16/100,ABS(M8-U8)/Setup!$B$18&lt;=Setup!$B$16/100,ABS(N8-X8)/Setup!$B$19&lt;=Setup!$B$16/100),"PASS","FAIL"))</f>
        <v/>
      </c>
      <c r="AP8" s="26">
        <f t="shared" si="21"/>
        <v>0.98244094488188982</v>
      </c>
      <c r="AQ8" s="26" t="str">
        <f t="shared" si="22"/>
        <v/>
      </c>
      <c r="AR8" s="26" t="str">
        <f t="shared" si="23"/>
        <v/>
      </c>
    </row>
    <row r="9" spans="1:44" x14ac:dyDescent="0.25">
      <c r="A9" s="21">
        <v>3</v>
      </c>
      <c r="B9" s="22"/>
      <c r="C9" s="22" t="s">
        <v>185</v>
      </c>
      <c r="D9" s="23">
        <v>12.66</v>
      </c>
      <c r="E9" s="23">
        <v>12.436999999999999</v>
      </c>
      <c r="F9" s="24">
        <v>7.5</v>
      </c>
      <c r="G9" s="23"/>
      <c r="H9" s="23">
        <v>12.679</v>
      </c>
      <c r="I9" s="25">
        <v>497.7</v>
      </c>
      <c r="J9" s="25"/>
      <c r="K9" s="25">
        <v>501.6</v>
      </c>
      <c r="L9" s="23">
        <v>12.8</v>
      </c>
      <c r="M9" s="25"/>
      <c r="N9" s="25"/>
      <c r="O9" s="23">
        <v>12.82</v>
      </c>
      <c r="P9" s="25"/>
      <c r="Q9" s="24"/>
      <c r="R9" s="26">
        <f t="shared" si="0"/>
        <v>12.66</v>
      </c>
      <c r="S9" s="27">
        <f t="shared" si="1"/>
        <v>592.41706161137438</v>
      </c>
      <c r="T9" s="27" t="str">
        <f t="shared" si="2"/>
        <v/>
      </c>
      <c r="U9" s="27">
        <f>IF(I9="","",I9/Setup!$B$14)</f>
        <v>995.4</v>
      </c>
      <c r="V9" s="27" t="str">
        <f t="shared" si="3"/>
        <v/>
      </c>
      <c r="W9" s="26" t="str">
        <f t="shared" si="4"/>
        <v/>
      </c>
      <c r="X9" s="27" t="str">
        <f t="shared" si="5"/>
        <v/>
      </c>
      <c r="Y9" s="28">
        <f t="shared" si="6"/>
        <v>9.5433393800773269E-3</v>
      </c>
      <c r="Z9" s="28" t="str">
        <f t="shared" si="7"/>
        <v/>
      </c>
      <c r="AA9" s="28" t="str">
        <f t="shared" si="8"/>
        <v/>
      </c>
      <c r="AB9" s="28">
        <f t="shared" si="9"/>
        <v>1.1058451816745701E-2</v>
      </c>
      <c r="AC9" s="28" t="str">
        <f t="shared" si="10"/>
        <v/>
      </c>
      <c r="AD9" s="28" t="str">
        <f t="shared" si="11"/>
        <v/>
      </c>
      <c r="AE9" s="28">
        <f t="shared" si="12"/>
        <v>1.1120750847858666E-2</v>
      </c>
      <c r="AF9" s="28" t="str">
        <f t="shared" si="13"/>
        <v/>
      </c>
      <c r="AG9" s="28" t="str">
        <f t="shared" si="14"/>
        <v/>
      </c>
      <c r="AH9" s="28">
        <f t="shared" si="15"/>
        <v>1.2638230647709331E-2</v>
      </c>
      <c r="AI9" s="28" t="str">
        <f t="shared" si="16"/>
        <v/>
      </c>
      <c r="AJ9" s="28" t="str">
        <f t="shared" si="17"/>
        <v/>
      </c>
      <c r="AK9" s="28">
        <f t="shared" si="18"/>
        <v>1.500789889415492E-3</v>
      </c>
      <c r="AL9" s="28">
        <f t="shared" si="19"/>
        <v>0.68023520000000004</v>
      </c>
      <c r="AM9" s="28" t="str">
        <f t="shared" si="20"/>
        <v/>
      </c>
      <c r="AN9" s="29" t="str">
        <f>IF(OR(L9="",M9="",N9="",O9="",P9="",Q9=""),"",IF(AND(ABS(L9-O9)&lt;=Setup!$B$20,ABS(M9-P9)&lt;=Setup!$B$21,ABS(N9-Q9*1000)&lt;=Setup!$B$22),"OK","CHECK"))</f>
        <v/>
      </c>
      <c r="AO9" s="29" t="str">
        <f>IF(OR(L9="",M9="",N9="",H9="",U9="",X9=""),"",IF(AND(ABS(L9-H9)/Setup!$B$17&lt;=Setup!$B$16/100,ABS(M9-U9)/Setup!$B$18&lt;=Setup!$B$16/100,ABS(N9-X9)/Setup!$B$19&lt;=Setup!$B$16/100),"PASS","FAIL"))</f>
        <v/>
      </c>
      <c r="AP9" s="26">
        <f t="shared" si="21"/>
        <v>0.99054687499999994</v>
      </c>
      <c r="AQ9" s="26" t="str">
        <f t="shared" si="22"/>
        <v/>
      </c>
      <c r="AR9" s="26" t="str">
        <f t="shared" si="23"/>
        <v/>
      </c>
    </row>
    <row r="10" spans="1:44" x14ac:dyDescent="0.25">
      <c r="A10" s="21">
        <v>4</v>
      </c>
      <c r="B10" s="22"/>
      <c r="C10" s="22" t="s">
        <v>186</v>
      </c>
      <c r="D10" s="23">
        <v>12.78</v>
      </c>
      <c r="E10" s="23">
        <v>12.58</v>
      </c>
      <c r="F10" s="24">
        <v>7.5</v>
      </c>
      <c r="G10" s="23"/>
      <c r="H10" s="23">
        <v>12.849</v>
      </c>
      <c r="I10" s="25">
        <v>506.3</v>
      </c>
      <c r="J10" s="25"/>
      <c r="K10" s="25">
        <v>501</v>
      </c>
      <c r="L10" s="23">
        <v>12.9</v>
      </c>
      <c r="M10" s="25"/>
      <c r="N10" s="25"/>
      <c r="O10" s="23">
        <v>12.95</v>
      </c>
      <c r="P10" s="25"/>
      <c r="Q10" s="24"/>
      <c r="R10" s="26">
        <f t="shared" si="0"/>
        <v>12.78</v>
      </c>
      <c r="S10" s="27">
        <f t="shared" si="1"/>
        <v>586.85446009389671</v>
      </c>
      <c r="T10" s="27" t="str">
        <f t="shared" si="2"/>
        <v/>
      </c>
      <c r="U10" s="27">
        <f>IF(I10="","",I10/Setup!$B$14)</f>
        <v>1012.6</v>
      </c>
      <c r="V10" s="27" t="str">
        <f t="shared" si="3"/>
        <v/>
      </c>
      <c r="W10" s="26" t="str">
        <f t="shared" si="4"/>
        <v/>
      </c>
      <c r="X10" s="27" t="str">
        <f t="shared" si="5"/>
        <v/>
      </c>
      <c r="Y10" s="28">
        <f t="shared" si="6"/>
        <v>3.9691804809712941E-3</v>
      </c>
      <c r="Z10" s="28" t="str">
        <f t="shared" si="7"/>
        <v/>
      </c>
      <c r="AA10" s="28" t="str">
        <f t="shared" si="8"/>
        <v/>
      </c>
      <c r="AB10" s="28">
        <f t="shared" si="9"/>
        <v>9.3896713615024257E-3</v>
      </c>
      <c r="AC10" s="28" t="str">
        <f t="shared" si="10"/>
        <v/>
      </c>
      <c r="AD10" s="28" t="str">
        <f t="shared" si="11"/>
        <v/>
      </c>
      <c r="AE10" s="28">
        <f t="shared" si="12"/>
        <v>7.8605338936881541E-3</v>
      </c>
      <c r="AF10" s="28" t="str">
        <f t="shared" si="13"/>
        <v/>
      </c>
      <c r="AG10" s="28" t="str">
        <f t="shared" si="14"/>
        <v/>
      </c>
      <c r="AH10" s="28">
        <f t="shared" si="15"/>
        <v>1.3302034428794988E-2</v>
      </c>
      <c r="AI10" s="28" t="str">
        <f t="shared" si="16"/>
        <v/>
      </c>
      <c r="AJ10" s="28" t="str">
        <f t="shared" si="17"/>
        <v/>
      </c>
      <c r="AK10" s="28">
        <f t="shared" si="18"/>
        <v>5.3990610328639157E-3</v>
      </c>
      <c r="AL10" s="28">
        <f t="shared" si="19"/>
        <v>0.72547040000000007</v>
      </c>
      <c r="AM10" s="28" t="str">
        <f t="shared" si="20"/>
        <v/>
      </c>
      <c r="AN10" s="29" t="str">
        <f>IF(OR(L10="",M10="",N10="",O10="",P10="",Q10=""),"",IF(AND(ABS(L10-O10)&lt;=Setup!$B$20,ABS(M10-P10)&lt;=Setup!$B$21,ABS(N10-Q10*1000)&lt;=Setup!$B$22),"OK","CHECK"))</f>
        <v/>
      </c>
      <c r="AO10" s="29" t="str">
        <f>IF(OR(L10="",M10="",N10="",H10="",U10="",X10=""),"",IF(AND(ABS(L10-H10)/Setup!$B$17&lt;=Setup!$B$16/100,ABS(M10-U10)/Setup!$B$18&lt;=Setup!$B$16/100,ABS(N10-X10)/Setup!$B$19&lt;=Setup!$B$16/100),"PASS","FAIL"))</f>
        <v/>
      </c>
      <c r="AP10" s="26">
        <f t="shared" si="21"/>
        <v>0.99604651162790692</v>
      </c>
      <c r="AQ10" s="26" t="str">
        <f t="shared" si="22"/>
        <v/>
      </c>
      <c r="AR10" s="26" t="str">
        <f t="shared" si="23"/>
        <v/>
      </c>
    </row>
    <row r="11" spans="1:44" x14ac:dyDescent="0.25">
      <c r="A11" s="21">
        <v>5</v>
      </c>
      <c r="B11" s="22"/>
      <c r="C11" s="22" t="s">
        <v>187</v>
      </c>
      <c r="D11" s="23">
        <v>12.903</v>
      </c>
      <c r="E11" s="23">
        <v>12.68</v>
      </c>
      <c r="F11" s="24">
        <v>7.5</v>
      </c>
      <c r="G11" s="23"/>
      <c r="H11" s="23">
        <v>12.95</v>
      </c>
      <c r="I11" s="25">
        <v>518.70000000000005</v>
      </c>
      <c r="J11" s="25"/>
      <c r="K11" s="25">
        <v>501</v>
      </c>
      <c r="L11" s="23">
        <v>13.1</v>
      </c>
      <c r="M11" s="25"/>
      <c r="N11" s="25"/>
      <c r="O11" s="23">
        <v>13.09</v>
      </c>
      <c r="P11" s="25"/>
      <c r="Q11" s="24"/>
      <c r="R11" s="26">
        <f t="shared" si="0"/>
        <v>12.903</v>
      </c>
      <c r="S11" s="27">
        <f t="shared" si="1"/>
        <v>581.26017205301093</v>
      </c>
      <c r="T11" s="27" t="str">
        <f t="shared" si="2"/>
        <v/>
      </c>
      <c r="U11" s="27">
        <f>IF(I11="","",I11/Setup!$B$14)</f>
        <v>1037.4000000000001</v>
      </c>
      <c r="V11" s="27" t="str">
        <f t="shared" si="3"/>
        <v/>
      </c>
      <c r="W11" s="26" t="str">
        <f t="shared" si="4"/>
        <v/>
      </c>
      <c r="X11" s="27" t="str">
        <f t="shared" si="5"/>
        <v/>
      </c>
      <c r="Y11" s="28">
        <f t="shared" si="6"/>
        <v>1.1583011583011612E-2</v>
      </c>
      <c r="Z11" s="28" t="str">
        <f t="shared" si="7"/>
        <v/>
      </c>
      <c r="AA11" s="28" t="str">
        <f t="shared" si="8"/>
        <v/>
      </c>
      <c r="AB11" s="28">
        <f t="shared" si="9"/>
        <v>1.526776718592569E-2</v>
      </c>
      <c r="AC11" s="28" t="str">
        <f t="shared" si="10"/>
        <v/>
      </c>
      <c r="AD11" s="28" t="str">
        <f t="shared" si="11"/>
        <v/>
      </c>
      <c r="AE11" s="28">
        <f t="shared" si="12"/>
        <v>1.0810810810810855E-2</v>
      </c>
      <c r="AF11" s="28" t="str">
        <f t="shared" si="13"/>
        <v/>
      </c>
      <c r="AG11" s="28" t="str">
        <f t="shared" si="14"/>
        <v/>
      </c>
      <c r="AH11" s="28">
        <f t="shared" si="15"/>
        <v>1.4492753623188357E-2</v>
      </c>
      <c r="AI11" s="28" t="str">
        <f t="shared" si="16"/>
        <v/>
      </c>
      <c r="AJ11" s="28" t="str">
        <f t="shared" si="17"/>
        <v/>
      </c>
      <c r="AK11" s="28">
        <f t="shared" si="18"/>
        <v>3.6425637448654438E-3</v>
      </c>
      <c r="AL11" s="28">
        <f t="shared" si="19"/>
        <v>0.7847429600000001</v>
      </c>
      <c r="AM11" s="28" t="str">
        <f t="shared" si="20"/>
        <v/>
      </c>
      <c r="AN11" s="29" t="str">
        <f>IF(OR(L11="",M11="",N11="",O11="",P11="",Q11=""),"",IF(AND(ABS(L11-O11)&lt;=Setup!$B$20,ABS(M11-P11)&lt;=Setup!$B$21,ABS(N11-Q11*1000)&lt;=Setup!$B$22),"OK","CHECK"))</f>
        <v/>
      </c>
      <c r="AO11" s="29" t="str">
        <f>IF(OR(L11="",M11="",N11="",H11="",U11="",X11=""),"",IF(AND(ABS(L11-H11)/Setup!$B$17&lt;=Setup!$B$16/100,ABS(M11-U11)/Setup!$B$18&lt;=Setup!$B$16/100,ABS(N11-X11)/Setup!$B$19&lt;=Setup!$B$16/100),"PASS","FAIL"))</f>
        <v/>
      </c>
      <c r="AP11" s="26">
        <f t="shared" si="21"/>
        <v>0.98854961832061061</v>
      </c>
      <c r="AQ11" s="26" t="str">
        <f t="shared" si="22"/>
        <v/>
      </c>
      <c r="AR11" s="26" t="str">
        <f t="shared" si="23"/>
        <v/>
      </c>
    </row>
    <row r="12" spans="1:44" x14ac:dyDescent="0.25">
      <c r="A12" s="21">
        <v>6</v>
      </c>
      <c r="B12" s="22"/>
      <c r="C12" s="22" t="s">
        <v>188</v>
      </c>
      <c r="D12" s="23"/>
      <c r="E12" s="23"/>
      <c r="F12" s="24">
        <v>7.5</v>
      </c>
      <c r="G12" s="23"/>
      <c r="H12" s="23"/>
      <c r="I12" s="25"/>
      <c r="J12" s="25"/>
      <c r="K12" s="25"/>
      <c r="L12" s="23"/>
      <c r="M12" s="25"/>
      <c r="N12" s="25"/>
      <c r="O12" s="23"/>
      <c r="P12" s="25"/>
      <c r="Q12" s="24"/>
      <c r="R12" s="26"/>
      <c r="S12" s="27"/>
      <c r="T12" s="27"/>
      <c r="U12" s="27"/>
      <c r="V12" s="27"/>
      <c r="W12" s="26"/>
      <c r="X12" s="27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9"/>
      <c r="AO12" s="29"/>
      <c r="AP12" s="26"/>
      <c r="AQ12" s="26"/>
      <c r="AR12" s="26"/>
    </row>
    <row r="13" spans="1:44" x14ac:dyDescent="0.25">
      <c r="A13" s="21">
        <v>7</v>
      </c>
      <c r="B13" s="22"/>
      <c r="C13" s="22" t="s">
        <v>189</v>
      </c>
      <c r="D13" s="23"/>
      <c r="E13" s="23"/>
      <c r="F13" s="24">
        <v>7.5</v>
      </c>
      <c r="G13" s="23"/>
      <c r="H13" s="23"/>
      <c r="I13" s="25"/>
      <c r="J13" s="25"/>
      <c r="K13" s="25"/>
      <c r="L13" s="23"/>
      <c r="M13" s="25"/>
      <c r="N13" s="25"/>
      <c r="O13" s="23"/>
      <c r="P13" s="25"/>
      <c r="Q13" s="24"/>
      <c r="R13" s="26"/>
      <c r="S13" s="27"/>
      <c r="T13" s="27"/>
      <c r="U13" s="27"/>
      <c r="V13" s="27"/>
      <c r="W13" s="26"/>
      <c r="X13" s="27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9"/>
      <c r="AO13" s="29"/>
      <c r="AP13" s="26"/>
      <c r="AQ13" s="26"/>
      <c r="AR13" s="26"/>
    </row>
    <row r="14" spans="1:44" x14ac:dyDescent="0.25">
      <c r="A14" s="21">
        <v>8</v>
      </c>
      <c r="B14" s="22"/>
      <c r="C14" s="22" t="s">
        <v>190</v>
      </c>
      <c r="D14" s="23"/>
      <c r="E14" s="23"/>
      <c r="F14" s="24">
        <v>7.5</v>
      </c>
      <c r="G14" s="23"/>
      <c r="H14" s="23"/>
      <c r="I14" s="25"/>
      <c r="J14" s="25"/>
      <c r="K14" s="25"/>
      <c r="L14" s="23"/>
      <c r="M14" s="25"/>
      <c r="N14" s="25"/>
      <c r="O14" s="23"/>
      <c r="P14" s="25"/>
      <c r="Q14" s="24"/>
      <c r="R14" s="26"/>
      <c r="S14" s="27"/>
      <c r="T14" s="27"/>
      <c r="U14" s="27"/>
      <c r="V14" s="27"/>
      <c r="W14" s="26"/>
      <c r="X14" s="27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9"/>
      <c r="AO14" s="29"/>
      <c r="AP14" s="26"/>
      <c r="AQ14" s="26"/>
      <c r="AR14" s="26"/>
    </row>
    <row r="15" spans="1:44" x14ac:dyDescent="0.25">
      <c r="A15" s="21">
        <v>9</v>
      </c>
      <c r="B15" s="22"/>
      <c r="C15" s="22"/>
      <c r="D15" s="23"/>
      <c r="E15" s="23"/>
      <c r="F15" s="24">
        <v>7.5</v>
      </c>
      <c r="G15" s="23"/>
      <c r="H15" s="23"/>
      <c r="I15" s="25"/>
      <c r="J15" s="25"/>
      <c r="K15" s="25"/>
      <c r="L15" s="23"/>
      <c r="M15" s="25"/>
      <c r="N15" s="25"/>
      <c r="O15" s="23"/>
      <c r="P15" s="25"/>
      <c r="Q15" s="24"/>
      <c r="R15" s="26"/>
      <c r="S15" s="27"/>
      <c r="T15" s="27"/>
      <c r="U15" s="27"/>
      <c r="V15" s="27"/>
      <c r="W15" s="26"/>
      <c r="X15" s="27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9"/>
      <c r="AO15" s="29"/>
      <c r="AP15" s="26"/>
      <c r="AQ15" s="26"/>
      <c r="AR15" s="26"/>
    </row>
    <row r="16" spans="1:44" x14ac:dyDescent="0.25">
      <c r="A16" s="21">
        <v>10</v>
      </c>
      <c r="B16" s="22"/>
      <c r="C16" s="22"/>
      <c r="D16" s="23"/>
      <c r="E16" s="23"/>
      <c r="F16" s="24"/>
      <c r="G16" s="23"/>
      <c r="H16" s="23"/>
      <c r="I16" s="25"/>
      <c r="J16" s="25"/>
      <c r="K16" s="25"/>
      <c r="L16" s="23"/>
      <c r="M16" s="25"/>
      <c r="N16" s="25"/>
      <c r="O16" s="23"/>
      <c r="P16" s="25"/>
      <c r="Q16" s="24"/>
      <c r="R16" s="26" t="str">
        <f t="shared" si="0"/>
        <v/>
      </c>
      <c r="S16" s="27" t="str">
        <f t="shared" si="1"/>
        <v/>
      </c>
      <c r="T16" s="27" t="str">
        <f t="shared" si="2"/>
        <v/>
      </c>
      <c r="U16" s="27" t="str">
        <f>IF(I16="","",I16/Setup!$B$14)</f>
        <v/>
      </c>
      <c r="V16" s="27" t="str">
        <f t="shared" si="3"/>
        <v/>
      </c>
      <c r="W16" s="26" t="str">
        <f t="shared" si="4"/>
        <v/>
      </c>
      <c r="X16" s="27" t="str">
        <f t="shared" si="5"/>
        <v/>
      </c>
      <c r="Y16" s="28" t="str">
        <f t="shared" si="6"/>
        <v/>
      </c>
      <c r="Z16" s="28" t="str">
        <f t="shared" si="7"/>
        <v/>
      </c>
      <c r="AA16" s="28" t="str">
        <f t="shared" si="8"/>
        <v/>
      </c>
      <c r="AB16" s="28" t="str">
        <f t="shared" si="9"/>
        <v/>
      </c>
      <c r="AC16" s="28" t="str">
        <f t="shared" si="10"/>
        <v/>
      </c>
      <c r="AD16" s="28" t="str">
        <f t="shared" si="11"/>
        <v/>
      </c>
      <c r="AE16" s="28" t="str">
        <f t="shared" si="12"/>
        <v/>
      </c>
      <c r="AF16" s="28" t="str">
        <f t="shared" si="13"/>
        <v/>
      </c>
      <c r="AG16" s="28" t="str">
        <f t="shared" si="14"/>
        <v/>
      </c>
      <c r="AH16" s="28" t="str">
        <f t="shared" si="15"/>
        <v/>
      </c>
      <c r="AI16" s="28" t="str">
        <f t="shared" si="16"/>
        <v/>
      </c>
      <c r="AJ16" s="28" t="str">
        <f t="shared" si="17"/>
        <v/>
      </c>
      <c r="AK16" s="28" t="str">
        <f t="shared" si="18"/>
        <v/>
      </c>
      <c r="AL16" s="28" t="str">
        <f t="shared" si="19"/>
        <v/>
      </c>
      <c r="AM16" s="28" t="str">
        <f t="shared" si="20"/>
        <v/>
      </c>
      <c r="AN16" s="29" t="str">
        <f>IF(OR(L16="",M16="",N16="",O16="",P16="",Q16=""),"",IF(AND(ABS(L16-O16)&lt;=Setup!$B$20,ABS(M16-P16)&lt;=Setup!$B$21,ABS(N16-Q16*1000)&lt;=Setup!$B$22),"OK","CHECK"))</f>
        <v/>
      </c>
      <c r="AO16" s="29" t="str">
        <f>IF(OR(L16="",M16="",N16="",H16="",U16="",X16=""),"",IF(AND(ABS(L16-H16)/Setup!$B$17&lt;=Setup!$B$16/100,ABS(M16-U16)/Setup!$B$18&lt;=Setup!$B$16/100,ABS(N16-X16)/Setup!$B$19&lt;=Setup!$B$16/100),"PASS","FAIL"))</f>
        <v/>
      </c>
      <c r="AP16" s="26" t="str">
        <f t="shared" si="21"/>
        <v/>
      </c>
      <c r="AQ16" s="26" t="str">
        <f t="shared" si="22"/>
        <v/>
      </c>
      <c r="AR16" s="26" t="str">
        <f t="shared" si="23"/>
        <v/>
      </c>
    </row>
    <row r="17" spans="1:44" x14ac:dyDescent="0.25">
      <c r="A17" s="21">
        <v>11</v>
      </c>
      <c r="B17" s="22"/>
      <c r="C17" s="22" t="s">
        <v>184</v>
      </c>
      <c r="D17" s="23">
        <v>12.959</v>
      </c>
      <c r="E17" s="23">
        <v>12.898</v>
      </c>
      <c r="F17" s="24">
        <v>2.5</v>
      </c>
      <c r="G17" s="23"/>
      <c r="H17" s="23">
        <v>13</v>
      </c>
      <c r="I17" s="25">
        <v>66.98</v>
      </c>
      <c r="J17" s="25"/>
      <c r="K17" s="25">
        <v>501</v>
      </c>
      <c r="L17" s="23">
        <v>13.1</v>
      </c>
      <c r="M17" s="25"/>
      <c r="N17" s="25"/>
      <c r="O17" s="23">
        <v>13.14</v>
      </c>
      <c r="P17" s="25"/>
      <c r="Q17" s="24"/>
      <c r="R17" s="26">
        <f>IF(D17="","",D17)</f>
        <v>12.959</v>
      </c>
      <c r="S17" s="27">
        <f>IF(OR(D17="",F17="",D17=0),"",F17/D17*1000)</f>
        <v>192.91612007099312</v>
      </c>
      <c r="T17" s="27" t="str">
        <f>IF(OR(F17="",G17=""),"",F17*G17*1000)</f>
        <v/>
      </c>
      <c r="U17" s="27">
        <f>IF(I17="","",I17/Setup!$B$14)</f>
        <v>133.96</v>
      </c>
      <c r="V17" s="27" t="str">
        <f>IF(OR(J17="",K17=""),"",360*K17*J17/1000000)</f>
        <v/>
      </c>
      <c r="W17" s="26" t="str">
        <f>IF(V17="","",COS(RADIANS(V17)))</f>
        <v/>
      </c>
      <c r="X17" s="27" t="str">
        <f>IF(OR(H17="",U17="",W17=""),"",H17*U17*W17)</f>
        <v/>
      </c>
      <c r="Y17" s="28">
        <f>IF(OR(L17="",H17=""),"",IF(H17=0,"",(L17-H17)/H17))</f>
        <v>7.692307692307665E-3</v>
      </c>
      <c r="Z17" s="28" t="str">
        <f>IF(OR(M17="",U17=""),"",IF(U17=0,"",(M17-U17)/U17))</f>
        <v/>
      </c>
      <c r="AA17" s="28" t="str">
        <f>IF(OR(N17="",X17=""),"",IF(X17=0,"",(N17-X17)/X17))</f>
        <v/>
      </c>
      <c r="AB17" s="28">
        <f>IF(OR(L17="",R17=""),"",IF(R17=0,"",(L17-R17)/R17))</f>
        <v>1.0880469172004014E-2</v>
      </c>
      <c r="AC17" s="28" t="str">
        <f>IF(OR(M17="",S17=""),"",IF(S17=0,"",(M17-S17)/S17))</f>
        <v/>
      </c>
      <c r="AD17" s="28" t="str">
        <f>IF(OR(N17="",T17=""),"",IF(T17=0,"",(N17-T17)/T17))</f>
        <v/>
      </c>
      <c r="AE17" s="28">
        <f>IF(OR(O17="",H17=""),"",IF(H17=0,"",(O17-H17)/H17))</f>
        <v>1.0769230769230812E-2</v>
      </c>
      <c r="AF17" s="28" t="str">
        <f>IF(OR(P17="",U17=""),"",IF(U17=0,"",(P17-U17)/U17))</f>
        <v/>
      </c>
      <c r="AG17" s="28" t="str">
        <f>IF(OR(Q17="",X17=""),"",IF(X17=0,"",(Q17*1000-X17)/X17))</f>
        <v/>
      </c>
      <c r="AH17" s="28">
        <f>IF(OR(O17="",R17=""),"",IF(R17=0,"",(O17-R17)/R17))</f>
        <v>1.3967127093139976E-2</v>
      </c>
      <c r="AI17" s="28" t="str">
        <f>IF(OR(P17="",S17=""),"",IF(S17=0,"",(P17-S17)/S17))</f>
        <v/>
      </c>
      <c r="AJ17" s="28" t="str">
        <f>IF(OR(Q17="",T17=""),"",IF(T17=0,"",(Q17*1000-T17)/T17))</f>
        <v/>
      </c>
      <c r="AK17" s="28">
        <f>IF(OR(H17="",R17=""),"",IF(R17=0,"",(H17-R17)/R17))</f>
        <v>3.1638243691643158E-3</v>
      </c>
      <c r="AL17" s="28">
        <f>IF(OR(U17="",S17=""),"",IF(S17=0,"",(U17-S17)/S17))</f>
        <v>-0.30560494399999988</v>
      </c>
      <c r="AM17" s="28" t="str">
        <f>IF(OR(X17="",T17=""),"",IF(T17=0,"",(X17-T17)/T17))</f>
        <v/>
      </c>
      <c r="AN17" s="29" t="str">
        <f>IF(OR(L17="",M17="",N17="",O17="",P17="",Q17=""),"",IF(AND(ABS(L17-O17)&lt;=Setup!$B$20,ABS(M17-P17)&lt;=Setup!$B$21,ABS(N17-Q17*1000)&lt;=Setup!$B$22),"OK","CHECK"))</f>
        <v/>
      </c>
      <c r="AO17" s="29" t="str">
        <f>IF(OR(L17="",M17="",N17="",H17="",U17="",X17=""),"",IF(AND(ABS(L17-H17)/Setup!$B$17&lt;=Setup!$B$16/100,ABS(M17-U17)/Setup!$B$18&lt;=Setup!$B$16/100,ABS(N17-X17)/Setup!$B$19&lt;=Setup!$B$16/100),"PASS","FAIL"))</f>
        <v/>
      </c>
      <c r="AP17" s="26">
        <f>IF(OR(H17="",L17="",L17=0),"",H17/L17)</f>
        <v>0.99236641221374045</v>
      </c>
      <c r="AQ17" s="26" t="str">
        <f>IF(OR(U17="",M17="",M17=0),"",U17/M17)</f>
        <v/>
      </c>
      <c r="AR17" s="26" t="str">
        <f>IF(OR(X17="",N17="",N17=0),"",X17/N17)</f>
        <v/>
      </c>
    </row>
    <row r="18" spans="1:44" x14ac:dyDescent="0.25">
      <c r="A18" s="21">
        <v>12</v>
      </c>
      <c r="B18" s="22"/>
      <c r="C18" s="22" t="s">
        <v>185</v>
      </c>
      <c r="D18" s="23">
        <v>13.108000000000001</v>
      </c>
      <c r="E18" s="23">
        <v>13.045</v>
      </c>
      <c r="F18" s="24">
        <v>2.5</v>
      </c>
      <c r="G18" s="23"/>
      <c r="H18" s="23">
        <v>13.15</v>
      </c>
      <c r="I18" s="25">
        <v>67.75</v>
      </c>
      <c r="J18" s="25"/>
      <c r="K18" s="25">
        <v>501</v>
      </c>
      <c r="L18" s="23">
        <v>13.3</v>
      </c>
      <c r="M18" s="25"/>
      <c r="N18" s="25"/>
      <c r="O18" s="23">
        <v>13.29</v>
      </c>
      <c r="P18" s="25"/>
      <c r="Q18" s="24"/>
      <c r="R18" s="26">
        <f>IF(D18="","",D18)</f>
        <v>13.108000000000001</v>
      </c>
      <c r="S18" s="27">
        <f>IF(OR(D18="",F18="",D18=0),"",F18/D18*1000)</f>
        <v>190.72322245956667</v>
      </c>
      <c r="T18" s="27" t="str">
        <f>IF(OR(F18="",G18=""),"",F18*G18*1000)</f>
        <v/>
      </c>
      <c r="U18" s="27">
        <f>IF(I18="","",I18/Setup!$B$14)</f>
        <v>135.5</v>
      </c>
      <c r="V18" s="27" t="str">
        <f>IF(OR(J18="",K18=""),"",360*K18*J18/1000000)</f>
        <v/>
      </c>
      <c r="W18" s="26" t="str">
        <f>IF(V18="","",COS(RADIANS(V18)))</f>
        <v/>
      </c>
      <c r="X18" s="27" t="str">
        <f>IF(OR(H18="",U18="",W18=""),"",H18*U18*W18)</f>
        <v/>
      </c>
      <c r="Y18" s="28">
        <f>IF(OR(L18="",H18=""),"",IF(H18=0,"",(L18-H18)/H18))</f>
        <v>1.1406844106463905E-2</v>
      </c>
      <c r="Z18" s="28" t="str">
        <f>IF(OR(M18="",U18=""),"",IF(U18=0,"",(M18-U18)/U18))</f>
        <v/>
      </c>
      <c r="AA18" s="28" t="str">
        <f>IF(OR(N18="",X18=""),"",IF(X18=0,"",(N18-X18)/X18))</f>
        <v/>
      </c>
      <c r="AB18" s="28">
        <f>IF(OR(L18="",R18=""),"",IF(R18=0,"",(L18-R18)/R18))</f>
        <v>1.4647543484894733E-2</v>
      </c>
      <c r="AC18" s="28" t="str">
        <f>IF(OR(M18="",S18=""),"",IF(S18=0,"",(M18-S18)/S18))</f>
        <v/>
      </c>
      <c r="AD18" s="28" t="str">
        <f>IF(OR(N18="",T18=""),"",IF(T18=0,"",(N18-T18)/T18))</f>
        <v/>
      </c>
      <c r="AE18" s="28">
        <f>IF(OR(O18="",H18=""),"",IF(H18=0,"",(O18-H18)/H18))</f>
        <v>1.0646387832699528E-2</v>
      </c>
      <c r="AF18" s="28" t="str">
        <f>IF(OR(P18="",U18=""),"",IF(U18=0,"",(P18-U18)/U18))</f>
        <v/>
      </c>
      <c r="AG18" s="28" t="str">
        <f>IF(OR(Q18="",X18=""),"",IF(X18=0,"",(Q18*1000-X18)/X18))</f>
        <v/>
      </c>
      <c r="AH18" s="28">
        <f>IF(OR(O18="",R18=""),"",IF(R18=0,"",(O18-R18)/R18))</f>
        <v>1.3884650595056348E-2</v>
      </c>
      <c r="AI18" s="28" t="str">
        <f>IF(OR(P18="",S18=""),"",IF(S18=0,"",(P18-S18)/S18))</f>
        <v/>
      </c>
      <c r="AJ18" s="28" t="str">
        <f>IF(OR(Q18="",T18=""),"",IF(T18=0,"",(Q18*1000-T18)/T18))</f>
        <v/>
      </c>
      <c r="AK18" s="28">
        <f>IF(OR(H18="",R18=""),"",IF(R18=0,"",(H18-R18)/R18))</f>
        <v>3.2041501373207058E-3</v>
      </c>
      <c r="AL18" s="28">
        <f>IF(OR(U18="",S18=""),"",IF(S18=0,"",(U18-S18)/S18))</f>
        <v>-0.28954639999999998</v>
      </c>
      <c r="AM18" s="28" t="str">
        <f>IF(OR(X18="",T18=""),"",IF(T18=0,"",(X18-T18)/T18))</f>
        <v/>
      </c>
      <c r="AN18" s="29" t="str">
        <f>IF(OR(L18="",M18="",N18="",O18="",P18="",Q18=""),"",IF(AND(ABS(L18-O18)&lt;=Setup!$B$20,ABS(M18-P18)&lt;=Setup!$B$21,ABS(N18-Q18*1000)&lt;=Setup!$B$22),"OK","CHECK"))</f>
        <v/>
      </c>
      <c r="AO18" s="29" t="str">
        <f>IF(OR(L18="",M18="",N18="",H18="",U18="",X18=""),"",IF(AND(ABS(L18-H18)/Setup!$B$17&lt;=Setup!$B$16/100,ABS(M18-U18)/Setup!$B$18&lt;=Setup!$B$16/100,ABS(N18-X18)/Setup!$B$19&lt;=Setup!$B$16/100),"PASS","FAIL"))</f>
        <v/>
      </c>
      <c r="AP18" s="26">
        <f>IF(OR(H18="",L18="",L18=0),"",H18/L18)</f>
        <v>0.98872180451127822</v>
      </c>
      <c r="AQ18" s="26" t="str">
        <f>IF(OR(U18="",M18="",M18=0),"",U18/M18)</f>
        <v/>
      </c>
      <c r="AR18" s="26" t="str">
        <f>IF(OR(X18="",N18="",N18=0),"",X18/N18)</f>
        <v/>
      </c>
    </row>
    <row r="19" spans="1:44" x14ac:dyDescent="0.25">
      <c r="A19" s="21">
        <v>13</v>
      </c>
      <c r="B19" s="22"/>
      <c r="C19" s="22" t="s">
        <v>186</v>
      </c>
      <c r="D19" s="23">
        <v>13.225</v>
      </c>
      <c r="E19" s="23">
        <v>13.156000000000001</v>
      </c>
      <c r="F19" s="24">
        <v>2.5</v>
      </c>
      <c r="G19" s="23"/>
      <c r="H19" s="23">
        <v>13.27</v>
      </c>
      <c r="I19" s="25">
        <v>68.319999999999993</v>
      </c>
      <c r="J19" s="25"/>
      <c r="K19" s="25">
        <v>501</v>
      </c>
      <c r="L19" s="23">
        <v>13.4</v>
      </c>
      <c r="M19" s="25"/>
      <c r="N19" s="25"/>
      <c r="O19" s="23">
        <v>13.41</v>
      </c>
      <c r="P19" s="25"/>
      <c r="Q19" s="24"/>
      <c r="R19" s="26">
        <f>IF(D19="","",D19)</f>
        <v>13.225</v>
      </c>
      <c r="S19" s="27">
        <f>IF(OR(D19="",F19="",D19=0),"",F19/D19*1000)</f>
        <v>189.03591682419659</v>
      </c>
      <c r="T19" s="27" t="str">
        <f>IF(OR(F19="",G19=""),"",F19*G19*1000)</f>
        <v/>
      </c>
      <c r="U19" s="27">
        <f>IF(I19="","",I19/Setup!$B$14)</f>
        <v>136.63999999999999</v>
      </c>
      <c r="V19" s="27" t="str">
        <f>IF(OR(J19="",K19=""),"",360*K19*J19/1000000)</f>
        <v/>
      </c>
      <c r="W19" s="26" t="str">
        <f>IF(V19="","",COS(RADIANS(V19)))</f>
        <v/>
      </c>
      <c r="X19" s="27" t="str">
        <f>IF(OR(H19="",U19="",W19=""),"",H19*U19*W19)</f>
        <v/>
      </c>
      <c r="Y19" s="28">
        <f>IF(OR(L19="",H19=""),"",IF(H19=0,"",(L19-H19)/H19))</f>
        <v>9.796533534287926E-3</v>
      </c>
      <c r="Z19" s="28" t="str">
        <f>IF(OR(M19="",U19=""),"",IF(U19=0,"",(M19-U19)/U19))</f>
        <v/>
      </c>
      <c r="AA19" s="28" t="str">
        <f>IF(OR(N19="",X19=""),"",IF(X19=0,"",(N19-X19)/X19))</f>
        <v/>
      </c>
      <c r="AB19" s="28">
        <f>IF(OR(L19="",R19=""),"",IF(R19=0,"",(L19-R19)/R19))</f>
        <v>1.3232514177693815E-2</v>
      </c>
      <c r="AC19" s="28" t="str">
        <f>IF(OR(M19="",S19=""),"",IF(S19=0,"",(M19-S19)/S19))</f>
        <v/>
      </c>
      <c r="AD19" s="28" t="str">
        <f>IF(OR(N19="",T19=""),"",IF(T19=0,"",(N19-T19)/T19))</f>
        <v/>
      </c>
      <c r="AE19" s="28">
        <f>IF(OR(O19="",H19=""),"",IF(H19=0,"",(O19-H19)/H19))</f>
        <v>1.0550113036925438E-2</v>
      </c>
      <c r="AF19" s="28" t="str">
        <f>IF(OR(P19="",U19=""),"",IF(U19=0,"",(P19-U19)/U19))</f>
        <v/>
      </c>
      <c r="AG19" s="28" t="str">
        <f>IF(OR(Q19="",X19=""),"",IF(X19=0,"",(Q19*1000-X19)/X19))</f>
        <v/>
      </c>
      <c r="AH19" s="28">
        <f>IF(OR(O19="",R19=""),"",IF(R19=0,"",(O19-R19)/R19))</f>
        <v>1.3988657844990586E-2</v>
      </c>
      <c r="AI19" s="28" t="str">
        <f>IF(OR(P19="",S19=""),"",IF(S19=0,"",(P19-S19)/S19))</f>
        <v/>
      </c>
      <c r="AJ19" s="28" t="str">
        <f>IF(OR(Q19="",T19=""),"",IF(T19=0,"",(Q19*1000-T19)/T19))</f>
        <v/>
      </c>
      <c r="AK19" s="28">
        <f>IF(OR(H19="",R19=""),"",IF(R19=0,"",(H19-R19)/R19))</f>
        <v>3.4026465028355337E-3</v>
      </c>
      <c r="AL19" s="28">
        <f>IF(OR(U19="",S19=""),"",IF(S19=0,"",(U19-S19)/S19))</f>
        <v>-0.27717440000000004</v>
      </c>
      <c r="AM19" s="28" t="str">
        <f>IF(OR(X19="",T19=""),"",IF(T19=0,"",(X19-T19)/T19))</f>
        <v/>
      </c>
      <c r="AN19" s="29" t="str">
        <f>IF(OR(L19="",M19="",N19="",O19="",P19="",Q19=""),"",IF(AND(ABS(L19-O19)&lt;=Setup!$B$20,ABS(M19-P19)&lt;=Setup!$B$21,ABS(N19-Q19*1000)&lt;=Setup!$B$22),"OK","CHECK"))</f>
        <v/>
      </c>
      <c r="AO19" s="29" t="str">
        <f>IF(OR(L19="",M19="",N19="",H19="",U19="",X19=""),"",IF(AND(ABS(L19-H19)/Setup!$B$17&lt;=Setup!$B$16/100,ABS(M19-U19)/Setup!$B$18&lt;=Setup!$B$16/100,ABS(N19-X19)/Setup!$B$19&lt;=Setup!$B$16/100),"PASS","FAIL"))</f>
        <v/>
      </c>
      <c r="AP19" s="26">
        <f>IF(OR(H19="",L19="",L19=0),"",H19/L19)</f>
        <v>0.99029850746268655</v>
      </c>
      <c r="AQ19" s="26" t="str">
        <f>IF(OR(U19="",M19="",M19=0),"",U19/M19)</f>
        <v/>
      </c>
      <c r="AR19" s="26" t="str">
        <f>IF(OR(X19="",N19="",N19=0),"",X19/N19)</f>
        <v/>
      </c>
    </row>
    <row r="20" spans="1:44" x14ac:dyDescent="0.25">
      <c r="A20" s="21">
        <v>14</v>
      </c>
      <c r="B20" s="22"/>
      <c r="C20" s="22" t="s">
        <v>187</v>
      </c>
      <c r="D20" s="23">
        <v>13.332000000000001</v>
      </c>
      <c r="E20" s="23">
        <v>13.269</v>
      </c>
      <c r="F20" s="24">
        <v>2.5</v>
      </c>
      <c r="G20" s="23"/>
      <c r="H20" s="23">
        <v>13.35</v>
      </c>
      <c r="I20" s="25">
        <v>68.819999999999993</v>
      </c>
      <c r="J20" s="25"/>
      <c r="K20" s="25">
        <v>501</v>
      </c>
      <c r="L20" s="23">
        <v>13.5</v>
      </c>
      <c r="M20" s="25"/>
      <c r="N20" s="25"/>
      <c r="O20" s="23">
        <v>13.53</v>
      </c>
      <c r="P20" s="25"/>
      <c r="Q20" s="24"/>
      <c r="R20" s="26">
        <f>IF(D20="","",D20)</f>
        <v>13.332000000000001</v>
      </c>
      <c r="S20" s="27">
        <f>IF(OR(D20="",F20="",D20=0),"",F20/D20*1000)</f>
        <v>187.51875187518752</v>
      </c>
      <c r="T20" s="27" t="str">
        <f>IF(OR(F20="",G20=""),"",F20*G20*1000)</f>
        <v/>
      </c>
      <c r="U20" s="27">
        <f>IF(I20="","",I20/Setup!$B$14)</f>
        <v>137.63999999999999</v>
      </c>
      <c r="V20" s="27" t="str">
        <f>IF(OR(J20="",K20=""),"",360*K20*J20/1000000)</f>
        <v/>
      </c>
      <c r="W20" s="26" t="str">
        <f>IF(V20="","",COS(RADIANS(V20)))</f>
        <v/>
      </c>
      <c r="X20" s="27" t="str">
        <f>IF(OR(H20="",U20="",W20=""),"",H20*U20*W20)</f>
        <v/>
      </c>
      <c r="Y20" s="28">
        <f>IF(OR(L20="",H20=""),"",IF(H20=0,"",(L20-H20)/H20))</f>
        <v>1.1235955056179803E-2</v>
      </c>
      <c r="Z20" s="28" t="str">
        <f>IF(OR(M20="",U20=""),"",IF(U20=0,"",(M20-U20)/U20))</f>
        <v/>
      </c>
      <c r="AA20" s="28" t="str">
        <f>IF(OR(N20="",X20=""),"",IF(X20=0,"",(N20-X20)/X20))</f>
        <v/>
      </c>
      <c r="AB20" s="28">
        <f>IF(OR(L20="",R20=""),"",IF(R20=0,"",(L20-R20)/R20))</f>
        <v>1.2601260126012545E-2</v>
      </c>
      <c r="AC20" s="28" t="str">
        <f>IF(OR(M20="",S20=""),"",IF(S20=0,"",(M20-S20)/S20))</f>
        <v/>
      </c>
      <c r="AD20" s="28" t="str">
        <f>IF(OR(N20="",T20=""),"",IF(T20=0,"",(N20-T20)/T20))</f>
        <v/>
      </c>
      <c r="AE20" s="28">
        <f>IF(OR(O20="",H20=""),"",IF(H20=0,"",(O20-H20)/H20))</f>
        <v>1.348314606741571E-2</v>
      </c>
      <c r="AF20" s="28" t="str">
        <f>IF(OR(P20="",U20=""),"",IF(U20=0,"",(P20-U20)/U20))</f>
        <v/>
      </c>
      <c r="AG20" s="28" t="str">
        <f>IF(OR(Q20="",X20=""),"",IF(X20=0,"",(Q20*1000-X20)/X20))</f>
        <v/>
      </c>
      <c r="AH20" s="28">
        <f>IF(OR(O20="",R20=""),"",IF(R20=0,"",(O20-R20)/R20))</f>
        <v>1.4851485148514747E-2</v>
      </c>
      <c r="AI20" s="28" t="str">
        <f>IF(OR(P20="",S20=""),"",IF(S20=0,"",(P20-S20)/S20))</f>
        <v/>
      </c>
      <c r="AJ20" s="28" t="str">
        <f>IF(OR(Q20="",T20=""),"",IF(T20=0,"",(Q20*1000-T20)/T20))</f>
        <v/>
      </c>
      <c r="AK20" s="28">
        <f>IF(OR(H20="",R20=""),"",IF(R20=0,"",(H20-R20)/R20))</f>
        <v>1.3501350135012679E-3</v>
      </c>
      <c r="AL20" s="28">
        <f>IF(OR(U20="",S20=""),"",IF(S20=0,"",(U20-S20)/S20))</f>
        <v>-0.2659934080000001</v>
      </c>
      <c r="AM20" s="28" t="str">
        <f>IF(OR(X20="",T20=""),"",IF(T20=0,"",(X20-T20)/T20))</f>
        <v/>
      </c>
      <c r="AN20" s="29" t="str">
        <f>IF(OR(L20="",M20="",N20="",O20="",P20="",Q20=""),"",IF(AND(ABS(L20-O20)&lt;=Setup!$B$20,ABS(M20-P20)&lt;=Setup!$B$21,ABS(N20-Q20*1000)&lt;=Setup!$B$22),"OK","CHECK"))</f>
        <v/>
      </c>
      <c r="AO20" s="29" t="str">
        <f>IF(OR(L20="",M20="",N20="",H20="",U20="",X20=""),"",IF(AND(ABS(L20-H20)/Setup!$B$17&lt;=Setup!$B$16/100,ABS(M20-U20)/Setup!$B$18&lt;=Setup!$B$16/100,ABS(N20-X20)/Setup!$B$19&lt;=Setup!$B$16/100),"PASS","FAIL"))</f>
        <v/>
      </c>
      <c r="AP20" s="26">
        <f>IF(OR(H20="",L20="",L20=0),"",H20/L20)</f>
        <v>0.98888888888888882</v>
      </c>
      <c r="AQ20" s="26" t="str">
        <f>IF(OR(U20="",M20="",M20=0),"",U20/M20)</f>
        <v/>
      </c>
      <c r="AR20" s="26" t="str">
        <f>IF(OR(X20="",N20="",N20=0),"",X20/N20)</f>
        <v/>
      </c>
    </row>
    <row r="21" spans="1:44" x14ac:dyDescent="0.25">
      <c r="A21" s="21">
        <v>15</v>
      </c>
      <c r="B21" s="22"/>
      <c r="C21" s="22" t="s">
        <v>188</v>
      </c>
      <c r="D21" s="23">
        <v>13.58</v>
      </c>
      <c r="E21" s="23">
        <v>13.518000000000001</v>
      </c>
      <c r="F21" s="24">
        <v>2.5</v>
      </c>
      <c r="G21" s="23"/>
      <c r="H21" s="23">
        <v>13.63</v>
      </c>
      <c r="I21" s="25">
        <v>70.239999999999995</v>
      </c>
      <c r="J21" s="25"/>
      <c r="K21" s="25">
        <v>501</v>
      </c>
      <c r="L21" s="23">
        <v>13.8</v>
      </c>
      <c r="M21" s="25"/>
      <c r="N21" s="25"/>
      <c r="O21" s="23">
        <v>13.79</v>
      </c>
      <c r="P21" s="25"/>
      <c r="Q21" s="24"/>
      <c r="R21" s="26">
        <f t="shared" si="0"/>
        <v>13.58</v>
      </c>
      <c r="S21" s="27">
        <f t="shared" si="1"/>
        <v>184.09425625920471</v>
      </c>
      <c r="T21" s="27" t="str">
        <f t="shared" si="2"/>
        <v/>
      </c>
      <c r="U21" s="27">
        <f>IF(I21="","",I21/Setup!$B$14)</f>
        <v>140.47999999999999</v>
      </c>
      <c r="V21" s="27" t="str">
        <f t="shared" si="3"/>
        <v/>
      </c>
      <c r="W21" s="26" t="str">
        <f t="shared" si="4"/>
        <v/>
      </c>
      <c r="X21" s="27" t="str">
        <f t="shared" si="5"/>
        <v/>
      </c>
      <c r="Y21" s="28">
        <f t="shared" si="6"/>
        <v>1.2472487160674976E-2</v>
      </c>
      <c r="Z21" s="28" t="str">
        <f t="shared" si="7"/>
        <v/>
      </c>
      <c r="AA21" s="28" t="str">
        <f t="shared" si="8"/>
        <v/>
      </c>
      <c r="AB21" s="28">
        <f t="shared" si="9"/>
        <v>1.6200294550810061E-2</v>
      </c>
      <c r="AC21" s="28" t="str">
        <f t="shared" si="10"/>
        <v/>
      </c>
      <c r="AD21" s="28" t="str">
        <f t="shared" si="11"/>
        <v/>
      </c>
      <c r="AE21" s="28">
        <f t="shared" si="12"/>
        <v>1.1738811445341038E-2</v>
      </c>
      <c r="AF21" s="28" t="str">
        <f t="shared" si="13"/>
        <v/>
      </c>
      <c r="AG21" s="28" t="str">
        <f t="shared" si="14"/>
        <v/>
      </c>
      <c r="AH21" s="28">
        <f t="shared" si="15"/>
        <v>1.5463917525773127E-2</v>
      </c>
      <c r="AI21" s="28" t="str">
        <f t="shared" si="16"/>
        <v/>
      </c>
      <c r="AJ21" s="28" t="str">
        <f t="shared" si="17"/>
        <v/>
      </c>
      <c r="AK21" s="28">
        <f t="shared" si="18"/>
        <v>3.6818851251841467E-3</v>
      </c>
      <c r="AL21" s="28">
        <f t="shared" si="19"/>
        <v>-0.23691264000000006</v>
      </c>
      <c r="AM21" s="28" t="str">
        <f t="shared" si="20"/>
        <v/>
      </c>
      <c r="AN21" s="29" t="str">
        <f>IF(OR(L21="",M21="",N21="",O21="",P21="",Q21=""),"",IF(AND(ABS(L21-O21)&lt;=Setup!$B$20,ABS(M21-P21)&lt;=Setup!$B$21,ABS(N21-Q21*1000)&lt;=Setup!$B$22),"OK","CHECK"))</f>
        <v/>
      </c>
      <c r="AO21" s="29" t="str">
        <f>IF(OR(L21="",M21="",N21="",H21="",U21="",X21=""),"",IF(AND(ABS(L21-H21)/Setup!$B$17&lt;=Setup!$B$16/100,ABS(M21-U21)/Setup!$B$18&lt;=Setup!$B$16/100,ABS(N21-X21)/Setup!$B$19&lt;=Setup!$B$16/100),"PASS","FAIL"))</f>
        <v/>
      </c>
      <c r="AP21" s="26">
        <f t="shared" si="21"/>
        <v>0.98768115942028989</v>
      </c>
      <c r="AQ21" s="26" t="str">
        <f t="shared" si="22"/>
        <v/>
      </c>
      <c r="AR21" s="26" t="str">
        <f t="shared" si="23"/>
        <v/>
      </c>
    </row>
    <row r="22" spans="1:44" x14ac:dyDescent="0.25">
      <c r="A22" s="21">
        <v>16</v>
      </c>
      <c r="B22" s="22"/>
      <c r="C22" s="22" t="s">
        <v>189</v>
      </c>
      <c r="D22" s="23">
        <v>13.76</v>
      </c>
      <c r="E22" s="23">
        <v>13.69</v>
      </c>
      <c r="F22" s="24">
        <v>2.5</v>
      </c>
      <c r="G22" s="23"/>
      <c r="H22" s="23">
        <v>13.81</v>
      </c>
      <c r="I22" s="25">
        <v>71.22</v>
      </c>
      <c r="J22" s="25"/>
      <c r="K22" s="25">
        <v>502</v>
      </c>
      <c r="L22" s="23">
        <v>14</v>
      </c>
      <c r="M22" s="25"/>
      <c r="N22" s="25"/>
      <c r="O22" s="23">
        <v>13.97</v>
      </c>
      <c r="P22" s="25"/>
      <c r="Q22" s="24"/>
      <c r="R22" s="26">
        <f t="shared" si="0"/>
        <v>13.76</v>
      </c>
      <c r="S22" s="27">
        <f t="shared" si="1"/>
        <v>181.68604651162789</v>
      </c>
      <c r="T22" s="27" t="str">
        <f t="shared" si="2"/>
        <v/>
      </c>
      <c r="U22" s="27">
        <f>IF(I22="","",I22/Setup!$B$14)</f>
        <v>142.44</v>
      </c>
      <c r="V22" s="27" t="str">
        <f t="shared" si="3"/>
        <v/>
      </c>
      <c r="W22" s="26" t="str">
        <f t="shared" si="4"/>
        <v/>
      </c>
      <c r="X22" s="27" t="str">
        <f t="shared" si="5"/>
        <v/>
      </c>
      <c r="Y22" s="28">
        <f t="shared" si="6"/>
        <v>1.375814627081821E-2</v>
      </c>
      <c r="Z22" s="28" t="str">
        <f t="shared" si="7"/>
        <v/>
      </c>
      <c r="AA22" s="28" t="str">
        <f t="shared" si="8"/>
        <v/>
      </c>
      <c r="AB22" s="28">
        <f t="shared" si="9"/>
        <v>1.7441860465116296E-2</v>
      </c>
      <c r="AC22" s="28" t="str">
        <f t="shared" si="10"/>
        <v/>
      </c>
      <c r="AD22" s="28" t="str">
        <f t="shared" si="11"/>
        <v/>
      </c>
      <c r="AE22" s="28">
        <f t="shared" si="12"/>
        <v>1.1585807385952218E-2</v>
      </c>
      <c r="AF22" s="28" t="str">
        <f t="shared" si="13"/>
        <v/>
      </c>
      <c r="AG22" s="28" t="str">
        <f t="shared" si="14"/>
        <v/>
      </c>
      <c r="AH22" s="28">
        <f t="shared" si="15"/>
        <v>1.5261627906976806E-2</v>
      </c>
      <c r="AI22" s="28" t="str">
        <f t="shared" si="16"/>
        <v/>
      </c>
      <c r="AJ22" s="28" t="str">
        <f t="shared" si="17"/>
        <v/>
      </c>
      <c r="AK22" s="28">
        <f t="shared" si="18"/>
        <v>3.6337209302326097E-3</v>
      </c>
      <c r="AL22" s="28">
        <f t="shared" si="19"/>
        <v>-0.21601023999999996</v>
      </c>
      <c r="AM22" s="28" t="str">
        <f t="shared" si="20"/>
        <v/>
      </c>
      <c r="AN22" s="29" t="str">
        <f>IF(OR(L22="",M22="",N22="",O22="",P22="",Q22=""),"",IF(AND(ABS(L22-O22)&lt;=Setup!$B$20,ABS(M22-P22)&lt;=Setup!$B$21,ABS(N22-Q22*1000)&lt;=Setup!$B$22),"OK","CHECK"))</f>
        <v/>
      </c>
      <c r="AO22" s="29" t="str">
        <f>IF(OR(L22="",M22="",N22="",H22="",U22="",X22=""),"",IF(AND(ABS(L22-H22)/Setup!$B$17&lt;=Setup!$B$16/100,ABS(M22-U22)/Setup!$B$18&lt;=Setup!$B$16/100,ABS(N22-X22)/Setup!$B$19&lt;=Setup!$B$16/100),"PASS","FAIL"))</f>
        <v/>
      </c>
      <c r="AP22" s="26">
        <f t="shared" si="21"/>
        <v>0.98642857142857143</v>
      </c>
      <c r="AQ22" s="26" t="str">
        <f t="shared" si="22"/>
        <v/>
      </c>
      <c r="AR22" s="26" t="str">
        <f t="shared" si="23"/>
        <v/>
      </c>
    </row>
    <row r="23" spans="1:44" x14ac:dyDescent="0.25">
      <c r="A23" s="21">
        <v>17</v>
      </c>
      <c r="B23" s="22"/>
      <c r="C23" s="22" t="s">
        <v>190</v>
      </c>
      <c r="D23" s="23">
        <v>13.877000000000001</v>
      </c>
      <c r="E23" s="23">
        <v>13.82</v>
      </c>
      <c r="F23" s="24">
        <v>2.5</v>
      </c>
      <c r="G23" s="23"/>
      <c r="H23" s="23">
        <v>13.93</v>
      </c>
      <c r="I23" s="25">
        <v>71.790000000000006</v>
      </c>
      <c r="J23" s="25"/>
      <c r="K23" s="25">
        <v>501</v>
      </c>
      <c r="L23" s="23">
        <v>14.1</v>
      </c>
      <c r="M23" s="25"/>
      <c r="N23" s="25"/>
      <c r="O23" s="23">
        <v>14.09</v>
      </c>
      <c r="P23" s="25"/>
      <c r="Q23" s="24"/>
      <c r="R23" s="26">
        <f t="shared" si="0"/>
        <v>13.877000000000001</v>
      </c>
      <c r="S23" s="27">
        <f t="shared" si="1"/>
        <v>180.15421200547669</v>
      </c>
      <c r="T23" s="27" t="str">
        <f t="shared" si="2"/>
        <v/>
      </c>
      <c r="U23" s="27">
        <f>IF(I23="","",I23/Setup!$B$14)</f>
        <v>143.58000000000001</v>
      </c>
      <c r="V23" s="27" t="str">
        <f t="shared" si="3"/>
        <v/>
      </c>
      <c r="W23" s="26" t="str">
        <f t="shared" si="4"/>
        <v/>
      </c>
      <c r="X23" s="27" t="str">
        <f t="shared" si="5"/>
        <v/>
      </c>
      <c r="Y23" s="28">
        <f t="shared" si="6"/>
        <v>1.2203876525484561E-2</v>
      </c>
      <c r="Z23" s="28" t="str">
        <f t="shared" si="7"/>
        <v/>
      </c>
      <c r="AA23" s="28" t="str">
        <f t="shared" si="8"/>
        <v/>
      </c>
      <c r="AB23" s="28">
        <f t="shared" si="9"/>
        <v>1.6069755710888447E-2</v>
      </c>
      <c r="AC23" s="28" t="str">
        <f t="shared" si="10"/>
        <v/>
      </c>
      <c r="AD23" s="28" t="str">
        <f t="shared" si="11"/>
        <v/>
      </c>
      <c r="AE23" s="28">
        <f t="shared" si="12"/>
        <v>1.148600143575019E-2</v>
      </c>
      <c r="AF23" s="28" t="str">
        <f t="shared" si="13"/>
        <v/>
      </c>
      <c r="AG23" s="28" t="str">
        <f t="shared" si="14"/>
        <v/>
      </c>
      <c r="AH23" s="28">
        <f t="shared" si="15"/>
        <v>1.5349138862866554E-2</v>
      </c>
      <c r="AI23" s="28" t="str">
        <f t="shared" si="16"/>
        <v/>
      </c>
      <c r="AJ23" s="28" t="str">
        <f t="shared" si="17"/>
        <v/>
      </c>
      <c r="AK23" s="28">
        <f t="shared" si="18"/>
        <v>3.8192692945160371E-3</v>
      </c>
      <c r="AL23" s="28">
        <f t="shared" si="19"/>
        <v>-0.20301613599999996</v>
      </c>
      <c r="AM23" s="28" t="str">
        <f t="shared" si="20"/>
        <v/>
      </c>
      <c r="AN23" s="29" t="str">
        <f>IF(OR(L23="",M23="",N23="",O23="",P23="",Q23=""),"",IF(AND(ABS(L23-O23)&lt;=Setup!$B$20,ABS(M23-P23)&lt;=Setup!$B$21,ABS(N23-Q23*1000)&lt;=Setup!$B$22),"OK","CHECK"))</f>
        <v/>
      </c>
      <c r="AO23" s="29" t="str">
        <f>IF(OR(L23="",M23="",N23="",H23="",U23="",X23=""),"",IF(AND(ABS(L23-H23)/Setup!$B$17&lt;=Setup!$B$16/100,ABS(M23-U23)/Setup!$B$18&lt;=Setup!$B$16/100,ABS(N23-X23)/Setup!$B$19&lt;=Setup!$B$16/100),"PASS","FAIL"))</f>
        <v/>
      </c>
      <c r="AP23" s="26">
        <f t="shared" si="21"/>
        <v>0.98794326241134756</v>
      </c>
      <c r="AQ23" s="26" t="str">
        <f t="shared" si="22"/>
        <v/>
      </c>
      <c r="AR23" s="26" t="str">
        <f t="shared" si="23"/>
        <v/>
      </c>
    </row>
    <row r="24" spans="1:44" x14ac:dyDescent="0.25">
      <c r="A24" s="21">
        <v>18</v>
      </c>
      <c r="B24" s="22"/>
      <c r="C24" s="22"/>
      <c r="D24" s="23"/>
      <c r="E24" s="23"/>
      <c r="F24" s="24"/>
      <c r="G24" s="23"/>
      <c r="H24" s="23"/>
      <c r="I24" s="25"/>
      <c r="J24" s="25"/>
      <c r="K24" s="25"/>
      <c r="L24" s="23"/>
      <c r="M24" s="25"/>
      <c r="N24" s="25"/>
      <c r="O24" s="23"/>
      <c r="P24" s="25"/>
      <c r="Q24" s="24"/>
      <c r="R24" s="26" t="str">
        <f t="shared" si="0"/>
        <v/>
      </c>
      <c r="S24" s="27" t="str">
        <f t="shared" si="1"/>
        <v/>
      </c>
      <c r="T24" s="27" t="str">
        <f t="shared" si="2"/>
        <v/>
      </c>
      <c r="U24" s="27" t="str">
        <f>IF(I24="","",I24/Setup!$B$14)</f>
        <v/>
      </c>
      <c r="V24" s="27" t="str">
        <f t="shared" si="3"/>
        <v/>
      </c>
      <c r="W24" s="26" t="str">
        <f t="shared" si="4"/>
        <v/>
      </c>
      <c r="X24" s="27" t="str">
        <f t="shared" si="5"/>
        <v/>
      </c>
      <c r="Y24" s="28" t="str">
        <f t="shared" si="6"/>
        <v/>
      </c>
      <c r="Z24" s="28" t="str">
        <f t="shared" si="7"/>
        <v/>
      </c>
      <c r="AA24" s="28" t="str">
        <f t="shared" si="8"/>
        <v/>
      </c>
      <c r="AB24" s="28" t="str">
        <f t="shared" si="9"/>
        <v/>
      </c>
      <c r="AC24" s="28" t="str">
        <f t="shared" si="10"/>
        <v/>
      </c>
      <c r="AD24" s="28" t="str">
        <f t="shared" si="11"/>
        <v/>
      </c>
      <c r="AE24" s="28" t="str">
        <f t="shared" si="12"/>
        <v/>
      </c>
      <c r="AF24" s="28" t="str">
        <f t="shared" si="13"/>
        <v/>
      </c>
      <c r="AG24" s="28" t="str">
        <f t="shared" si="14"/>
        <v/>
      </c>
      <c r="AH24" s="28" t="str">
        <f t="shared" si="15"/>
        <v/>
      </c>
      <c r="AI24" s="28" t="str">
        <f t="shared" si="16"/>
        <v/>
      </c>
      <c r="AJ24" s="28" t="str">
        <f t="shared" si="17"/>
        <v/>
      </c>
      <c r="AK24" s="28" t="str">
        <f t="shared" si="18"/>
        <v/>
      </c>
      <c r="AL24" s="28" t="str">
        <f t="shared" si="19"/>
        <v/>
      </c>
      <c r="AM24" s="28" t="str">
        <f t="shared" si="20"/>
        <v/>
      </c>
      <c r="AN24" s="29" t="str">
        <f>IF(OR(L24="",M24="",N24="",O24="",P24="",Q24=""),"",IF(AND(ABS(L24-O24)&lt;=Setup!$B$20,ABS(M24-P24)&lt;=Setup!$B$21,ABS(N24-Q24*1000)&lt;=Setup!$B$22),"OK","CHECK"))</f>
        <v/>
      </c>
      <c r="AO24" s="29" t="str">
        <f>IF(OR(L24="",M24="",N24="",H24="",U24="",X24=""),"",IF(AND(ABS(L24-H24)/Setup!$B$17&lt;=Setup!$B$16/100,ABS(M24-U24)/Setup!$B$18&lt;=Setup!$B$16/100,ABS(N24-X24)/Setup!$B$19&lt;=Setup!$B$16/100),"PASS","FAIL"))</f>
        <v/>
      </c>
      <c r="AP24" s="26" t="str">
        <f t="shared" si="21"/>
        <v/>
      </c>
      <c r="AQ24" s="26" t="str">
        <f t="shared" si="22"/>
        <v/>
      </c>
      <c r="AR24" s="26" t="str">
        <f t="shared" si="23"/>
        <v/>
      </c>
    </row>
    <row r="25" spans="1:44" x14ac:dyDescent="0.25">
      <c r="A25" s="21">
        <v>19</v>
      </c>
      <c r="B25" s="22"/>
      <c r="C25" s="22"/>
      <c r="D25" s="23"/>
      <c r="E25" s="23"/>
      <c r="F25" s="24"/>
      <c r="G25" s="23"/>
      <c r="H25" s="23"/>
      <c r="I25" s="25"/>
      <c r="J25" s="25"/>
      <c r="K25" s="25"/>
      <c r="L25" s="23"/>
      <c r="M25" s="25"/>
      <c r="N25" s="25"/>
      <c r="O25" s="23"/>
      <c r="P25" s="25"/>
      <c r="Q25" s="24"/>
      <c r="R25" s="26" t="str">
        <f t="shared" si="0"/>
        <v/>
      </c>
      <c r="S25" s="27" t="str">
        <f t="shared" si="1"/>
        <v/>
      </c>
      <c r="T25" s="27" t="str">
        <f t="shared" si="2"/>
        <v/>
      </c>
      <c r="U25" s="27" t="str">
        <f>IF(I25="","",I25/Setup!$B$14)</f>
        <v/>
      </c>
      <c r="V25" s="27" t="str">
        <f t="shared" si="3"/>
        <v/>
      </c>
      <c r="W25" s="26" t="str">
        <f t="shared" si="4"/>
        <v/>
      </c>
      <c r="X25" s="27" t="str">
        <f t="shared" si="5"/>
        <v/>
      </c>
      <c r="Y25" s="28" t="str">
        <f t="shared" si="6"/>
        <v/>
      </c>
      <c r="Z25" s="28" t="str">
        <f t="shared" si="7"/>
        <v/>
      </c>
      <c r="AA25" s="28" t="str">
        <f t="shared" si="8"/>
        <v/>
      </c>
      <c r="AB25" s="28" t="str">
        <f t="shared" si="9"/>
        <v/>
      </c>
      <c r="AC25" s="28" t="str">
        <f t="shared" si="10"/>
        <v/>
      </c>
      <c r="AD25" s="28" t="str">
        <f t="shared" si="11"/>
        <v/>
      </c>
      <c r="AE25" s="28" t="str">
        <f t="shared" si="12"/>
        <v/>
      </c>
      <c r="AF25" s="28" t="str">
        <f t="shared" si="13"/>
        <v/>
      </c>
      <c r="AG25" s="28" t="str">
        <f t="shared" si="14"/>
        <v/>
      </c>
      <c r="AH25" s="28" t="str">
        <f t="shared" si="15"/>
        <v/>
      </c>
      <c r="AI25" s="28" t="str">
        <f t="shared" si="16"/>
        <v/>
      </c>
      <c r="AJ25" s="28" t="str">
        <f t="shared" si="17"/>
        <v/>
      </c>
      <c r="AK25" s="28" t="str">
        <f t="shared" si="18"/>
        <v/>
      </c>
      <c r="AL25" s="28" t="str">
        <f t="shared" si="19"/>
        <v/>
      </c>
      <c r="AM25" s="28" t="str">
        <f t="shared" si="20"/>
        <v/>
      </c>
      <c r="AN25" s="29" t="str">
        <f>IF(OR(L25="",M25="",N25="",O25="",P25="",Q25=""),"",IF(AND(ABS(L25-O25)&lt;=Setup!$B$20,ABS(M25-P25)&lt;=Setup!$B$21,ABS(N25-Q25*1000)&lt;=Setup!$B$22),"OK","CHECK"))</f>
        <v/>
      </c>
      <c r="AO25" s="29" t="str">
        <f>IF(OR(L25="",M25="",N25="",H25="",U25="",X25=""),"",IF(AND(ABS(L25-H25)/Setup!$B$17&lt;=Setup!$B$16/100,ABS(M25-U25)/Setup!$B$18&lt;=Setup!$B$16/100,ABS(N25-X25)/Setup!$B$19&lt;=Setup!$B$16/100),"PASS","FAIL"))</f>
        <v/>
      </c>
      <c r="AP25" s="26" t="str">
        <f t="shared" si="21"/>
        <v/>
      </c>
      <c r="AQ25" s="26" t="str">
        <f t="shared" si="22"/>
        <v/>
      </c>
      <c r="AR25" s="26" t="str">
        <f t="shared" si="23"/>
        <v/>
      </c>
    </row>
    <row r="26" spans="1:44" x14ac:dyDescent="0.25">
      <c r="A26" s="21">
        <v>20</v>
      </c>
      <c r="B26" s="22"/>
      <c r="C26" s="22"/>
      <c r="D26" s="23"/>
      <c r="E26" s="23"/>
      <c r="F26" s="24"/>
      <c r="G26" s="23"/>
      <c r="H26" s="23"/>
      <c r="I26" s="25"/>
      <c r="J26" s="25"/>
      <c r="K26" s="25"/>
      <c r="L26" s="23"/>
      <c r="M26" s="25"/>
      <c r="N26" s="25"/>
      <c r="O26" s="23"/>
      <c r="P26" s="25"/>
      <c r="Q26" s="24"/>
      <c r="R26" s="26" t="str">
        <f t="shared" si="0"/>
        <v/>
      </c>
      <c r="S26" s="27" t="str">
        <f t="shared" si="1"/>
        <v/>
      </c>
      <c r="T26" s="27" t="str">
        <f t="shared" si="2"/>
        <v/>
      </c>
      <c r="U26" s="27" t="str">
        <f>IF(I26="","",I26/Setup!$B$14)</f>
        <v/>
      </c>
      <c r="V26" s="27" t="str">
        <f t="shared" si="3"/>
        <v/>
      </c>
      <c r="W26" s="26" t="str">
        <f t="shared" si="4"/>
        <v/>
      </c>
      <c r="X26" s="27" t="str">
        <f t="shared" si="5"/>
        <v/>
      </c>
      <c r="Y26" s="28" t="str">
        <f t="shared" si="6"/>
        <v/>
      </c>
      <c r="Z26" s="28" t="str">
        <f t="shared" si="7"/>
        <v/>
      </c>
      <c r="AA26" s="28" t="str">
        <f t="shared" si="8"/>
        <v/>
      </c>
      <c r="AB26" s="28" t="str">
        <f t="shared" si="9"/>
        <v/>
      </c>
      <c r="AC26" s="28" t="str">
        <f t="shared" si="10"/>
        <v/>
      </c>
      <c r="AD26" s="28" t="str">
        <f t="shared" si="11"/>
        <v/>
      </c>
      <c r="AE26" s="28" t="str">
        <f t="shared" si="12"/>
        <v/>
      </c>
      <c r="AF26" s="28" t="str">
        <f t="shared" si="13"/>
        <v/>
      </c>
      <c r="AG26" s="28" t="str">
        <f t="shared" si="14"/>
        <v/>
      </c>
      <c r="AH26" s="28" t="str">
        <f t="shared" si="15"/>
        <v/>
      </c>
      <c r="AI26" s="28" t="str">
        <f t="shared" si="16"/>
        <v/>
      </c>
      <c r="AJ26" s="28" t="str">
        <f t="shared" si="17"/>
        <v/>
      </c>
      <c r="AK26" s="28" t="str">
        <f t="shared" si="18"/>
        <v/>
      </c>
      <c r="AL26" s="28" t="str">
        <f t="shared" si="19"/>
        <v/>
      </c>
      <c r="AM26" s="28" t="str">
        <f t="shared" si="20"/>
        <v/>
      </c>
      <c r="AN26" s="29" t="str">
        <f>IF(OR(L26="",M26="",N26="",O26="",P26="",Q26=""),"",IF(AND(ABS(L26-O26)&lt;=Setup!$B$20,ABS(M26-P26)&lt;=Setup!$B$21,ABS(N26-Q26*1000)&lt;=Setup!$B$22),"OK","CHECK"))</f>
        <v/>
      </c>
      <c r="AO26" s="29" t="str">
        <f>IF(OR(L26="",M26="",N26="",H26="",U26="",X26=""),"",IF(AND(ABS(L26-H26)/Setup!$B$17&lt;=Setup!$B$16/100,ABS(M26-U26)/Setup!$B$18&lt;=Setup!$B$16/100,ABS(N26-X26)/Setup!$B$19&lt;=Setup!$B$16/100),"PASS","FAIL"))</f>
        <v/>
      </c>
      <c r="AP26" s="26" t="str">
        <f t="shared" si="21"/>
        <v/>
      </c>
      <c r="AQ26" s="26" t="str">
        <f t="shared" si="22"/>
        <v/>
      </c>
      <c r="AR26" s="26" t="str">
        <f t="shared" si="23"/>
        <v/>
      </c>
    </row>
  </sheetData>
  <mergeCells count="9">
    <mergeCell ref="U4:X4"/>
    <mergeCell ref="Y4:AM4"/>
    <mergeCell ref="AN4:AO4"/>
    <mergeCell ref="AP4:AR4"/>
    <mergeCell ref="A4:G4"/>
    <mergeCell ref="H4:K4"/>
    <mergeCell ref="L4:N4"/>
    <mergeCell ref="O4:Q4"/>
    <mergeCell ref="R4:T4"/>
  </mergeCells>
  <conditionalFormatting sqref="AN7:AN26">
    <cfRule type="cellIs" dxfId="5" priority="4" operator="equal">
      <formula>"OK"</formula>
    </cfRule>
    <cfRule type="cellIs" dxfId="4" priority="5" operator="equal">
      <formula>"CHECK"</formula>
    </cfRule>
  </conditionalFormatting>
  <conditionalFormatting sqref="AO7:AO26">
    <cfRule type="cellIs" dxfId="3" priority="2" operator="equal">
      <formula>"PASS"</formula>
    </cfRule>
    <cfRule type="cellIs" dxfId="2" priority="3" operator="equal">
      <formula>"FAIL"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7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7109375" defaultRowHeight="15" x14ac:dyDescent="0.25"/>
  <cols>
    <col min="1" max="1" width="7" customWidth="1"/>
    <col min="2" max="2" width="30" customWidth="1"/>
    <col min="3" max="3" width="14" customWidth="1"/>
    <col min="4" max="4" width="11" customWidth="1"/>
    <col min="5" max="6" width="14" customWidth="1"/>
    <col min="7" max="8" width="12" customWidth="1"/>
    <col min="9" max="9" width="10" customWidth="1"/>
    <col min="10" max="10" width="16" customWidth="1"/>
    <col min="11" max="11" width="10" customWidth="1"/>
  </cols>
  <sheetData>
    <row r="1" spans="1:11" ht="18" x14ac:dyDescent="0.25">
      <c r="A1" s="6" t="s">
        <v>142</v>
      </c>
    </row>
    <row r="2" spans="1:11" x14ac:dyDescent="0.25">
      <c r="A2" s="7" t="s">
        <v>143</v>
      </c>
    </row>
    <row r="5" spans="1:11" ht="43.5" customHeight="1" x14ac:dyDescent="0.25">
      <c r="A5" s="17" t="s">
        <v>99</v>
      </c>
      <c r="B5" s="17" t="s">
        <v>100</v>
      </c>
      <c r="C5" s="17" t="s">
        <v>144</v>
      </c>
      <c r="D5" s="17" t="s">
        <v>145</v>
      </c>
      <c r="E5" s="17" t="s">
        <v>146</v>
      </c>
      <c r="F5" s="17" t="s">
        <v>147</v>
      </c>
      <c r="G5" s="20" t="s">
        <v>148</v>
      </c>
      <c r="H5" s="20" t="s">
        <v>149</v>
      </c>
      <c r="I5" s="20" t="s">
        <v>150</v>
      </c>
      <c r="J5" s="20" t="s">
        <v>151</v>
      </c>
      <c r="K5" s="20" t="s">
        <v>152</v>
      </c>
    </row>
    <row r="6" spans="1:11" x14ac:dyDescent="0.25">
      <c r="A6" s="21">
        <v>1</v>
      </c>
      <c r="B6" s="22" t="s">
        <v>153</v>
      </c>
      <c r="C6" s="30">
        <v>4000</v>
      </c>
      <c r="D6" s="30">
        <v>600</v>
      </c>
      <c r="E6" s="22">
        <v>120</v>
      </c>
      <c r="F6" s="22">
        <v>780</v>
      </c>
      <c r="G6" s="27">
        <f t="shared" ref="G6:G15" si="0">IF(OR(C6="",D6=""),"",C6*D6/3600)</f>
        <v>666.66666666666663</v>
      </c>
      <c r="H6" s="31">
        <f t="shared" ref="H6:H15" si="1">IF(OR(E6="",F6=""),"",F6-E6)</f>
        <v>660</v>
      </c>
      <c r="I6" s="28">
        <f t="shared" ref="I6:I15" si="2">IF(OR(G6="",H6="",G6=0),"",(H6-G6)/G6)</f>
        <v>-9.999999999999943E-3</v>
      </c>
      <c r="J6" s="28">
        <f t="shared" ref="J6:J15" si="3">IF(OR(G6="",G6=0),"",1/G6)</f>
        <v>1.5E-3</v>
      </c>
      <c r="K6" s="32" t="str">
        <f>IF(OR(G6="",H6=""),"",IF(ABS(H6-G6)&lt;=1+Setup!$B$16/100*G6,"PASS","FAIL"))</f>
        <v>PASS</v>
      </c>
    </row>
    <row r="7" spans="1:11" x14ac:dyDescent="0.25">
      <c r="A7" s="21">
        <v>2</v>
      </c>
      <c r="B7" s="22"/>
      <c r="C7" s="30"/>
      <c r="D7" s="30"/>
      <c r="E7" s="22"/>
      <c r="F7" s="22"/>
      <c r="G7" s="27" t="str">
        <f t="shared" si="0"/>
        <v/>
      </c>
      <c r="H7" s="31" t="str">
        <f t="shared" si="1"/>
        <v/>
      </c>
      <c r="I7" s="28" t="str">
        <f t="shared" si="2"/>
        <v/>
      </c>
      <c r="J7" s="28" t="str">
        <f t="shared" si="3"/>
        <v/>
      </c>
      <c r="K7" s="32" t="str">
        <f>IF(OR(G7="",H7=""),"",IF(ABS(H7-G7)&lt;=1+Setup!$B$16/100*G7,"PASS","FAIL"))</f>
        <v/>
      </c>
    </row>
    <row r="8" spans="1:11" x14ac:dyDescent="0.25">
      <c r="A8" s="21">
        <v>3</v>
      </c>
      <c r="B8" s="22"/>
      <c r="C8" s="30"/>
      <c r="D8" s="30"/>
      <c r="E8" s="22"/>
      <c r="F8" s="22"/>
      <c r="G8" s="27" t="str">
        <f t="shared" si="0"/>
        <v/>
      </c>
      <c r="H8" s="31" t="str">
        <f t="shared" si="1"/>
        <v/>
      </c>
      <c r="I8" s="28" t="str">
        <f t="shared" si="2"/>
        <v/>
      </c>
      <c r="J8" s="28" t="str">
        <f t="shared" si="3"/>
        <v/>
      </c>
      <c r="K8" s="32" t="str">
        <f>IF(OR(G8="",H8=""),"",IF(ABS(H8-G8)&lt;=1+Setup!$B$16/100*G8,"PASS","FAIL"))</f>
        <v/>
      </c>
    </row>
    <row r="9" spans="1:11" x14ac:dyDescent="0.25">
      <c r="A9" s="21">
        <v>4</v>
      </c>
      <c r="B9" s="22"/>
      <c r="C9" s="30"/>
      <c r="D9" s="30"/>
      <c r="E9" s="22"/>
      <c r="F9" s="22"/>
      <c r="G9" s="27" t="str">
        <f t="shared" si="0"/>
        <v/>
      </c>
      <c r="H9" s="31" t="str">
        <f t="shared" si="1"/>
        <v/>
      </c>
      <c r="I9" s="28" t="str">
        <f t="shared" si="2"/>
        <v/>
      </c>
      <c r="J9" s="28" t="str">
        <f t="shared" si="3"/>
        <v/>
      </c>
      <c r="K9" s="32" t="str">
        <f>IF(OR(G9="",H9=""),"",IF(ABS(H9-G9)&lt;=1+Setup!$B$16/100*G9,"PASS","FAIL"))</f>
        <v/>
      </c>
    </row>
    <row r="10" spans="1:11" x14ac:dyDescent="0.25">
      <c r="A10" s="21">
        <v>5</v>
      </c>
      <c r="B10" s="22"/>
      <c r="C10" s="30"/>
      <c r="D10" s="30"/>
      <c r="E10" s="22"/>
      <c r="F10" s="22"/>
      <c r="G10" s="27" t="str">
        <f t="shared" si="0"/>
        <v/>
      </c>
      <c r="H10" s="31" t="str">
        <f t="shared" si="1"/>
        <v/>
      </c>
      <c r="I10" s="28" t="str">
        <f t="shared" si="2"/>
        <v/>
      </c>
      <c r="J10" s="28" t="str">
        <f t="shared" si="3"/>
        <v/>
      </c>
      <c r="K10" s="32" t="str">
        <f>IF(OR(G10="",H10=""),"",IF(ABS(H10-G10)&lt;=1+Setup!$B$16/100*G10,"PASS","FAIL"))</f>
        <v/>
      </c>
    </row>
    <row r="11" spans="1:11" x14ac:dyDescent="0.25">
      <c r="A11" s="21">
        <v>6</v>
      </c>
      <c r="B11" s="22"/>
      <c r="C11" s="30"/>
      <c r="D11" s="30"/>
      <c r="E11" s="22"/>
      <c r="F11" s="22"/>
      <c r="G11" s="27" t="str">
        <f t="shared" si="0"/>
        <v/>
      </c>
      <c r="H11" s="31" t="str">
        <f t="shared" si="1"/>
        <v/>
      </c>
      <c r="I11" s="28" t="str">
        <f t="shared" si="2"/>
        <v/>
      </c>
      <c r="J11" s="28" t="str">
        <f t="shared" si="3"/>
        <v/>
      </c>
      <c r="K11" s="32" t="str">
        <f>IF(OR(G11="",H11=""),"",IF(ABS(H11-G11)&lt;=1+Setup!$B$16/100*G11,"PASS","FAIL"))</f>
        <v/>
      </c>
    </row>
    <row r="12" spans="1:11" x14ac:dyDescent="0.25">
      <c r="A12" s="21">
        <v>7</v>
      </c>
      <c r="B12" s="22"/>
      <c r="C12" s="30"/>
      <c r="D12" s="30"/>
      <c r="E12" s="22"/>
      <c r="F12" s="22"/>
      <c r="G12" s="27" t="str">
        <f t="shared" si="0"/>
        <v/>
      </c>
      <c r="H12" s="31" t="str">
        <f t="shared" si="1"/>
        <v/>
      </c>
      <c r="I12" s="28" t="str">
        <f t="shared" si="2"/>
        <v/>
      </c>
      <c r="J12" s="28" t="str">
        <f t="shared" si="3"/>
        <v/>
      </c>
      <c r="K12" s="32" t="str">
        <f>IF(OR(G12="",H12=""),"",IF(ABS(H12-G12)&lt;=1+Setup!$B$16/100*G12,"PASS","FAIL"))</f>
        <v/>
      </c>
    </row>
    <row r="13" spans="1:11" x14ac:dyDescent="0.25">
      <c r="A13" s="21">
        <v>8</v>
      </c>
      <c r="B13" s="22"/>
      <c r="C13" s="30"/>
      <c r="D13" s="30"/>
      <c r="E13" s="22"/>
      <c r="F13" s="22"/>
      <c r="G13" s="27" t="str">
        <f t="shared" si="0"/>
        <v/>
      </c>
      <c r="H13" s="31" t="str">
        <f t="shared" si="1"/>
        <v/>
      </c>
      <c r="I13" s="28" t="str">
        <f t="shared" si="2"/>
        <v/>
      </c>
      <c r="J13" s="28" t="str">
        <f t="shared" si="3"/>
        <v/>
      </c>
      <c r="K13" s="32" t="str">
        <f>IF(OR(G13="",H13=""),"",IF(ABS(H13-G13)&lt;=1+Setup!$B$16/100*G13,"PASS","FAIL"))</f>
        <v/>
      </c>
    </row>
    <row r="14" spans="1:11" x14ac:dyDescent="0.25">
      <c r="A14" s="21">
        <v>9</v>
      </c>
      <c r="B14" s="22"/>
      <c r="C14" s="30"/>
      <c r="D14" s="30"/>
      <c r="E14" s="22"/>
      <c r="F14" s="22"/>
      <c r="G14" s="27" t="str">
        <f t="shared" si="0"/>
        <v/>
      </c>
      <c r="H14" s="31" t="str">
        <f t="shared" si="1"/>
        <v/>
      </c>
      <c r="I14" s="28" t="str">
        <f t="shared" si="2"/>
        <v/>
      </c>
      <c r="J14" s="28" t="str">
        <f t="shared" si="3"/>
        <v/>
      </c>
      <c r="K14" s="32" t="str">
        <f>IF(OR(G14="",H14=""),"",IF(ABS(H14-G14)&lt;=1+Setup!$B$16/100*G14,"PASS","FAIL"))</f>
        <v/>
      </c>
    </row>
    <row r="15" spans="1:11" x14ac:dyDescent="0.25">
      <c r="A15" s="21">
        <v>10</v>
      </c>
      <c r="B15" s="22"/>
      <c r="C15" s="30"/>
      <c r="D15" s="30"/>
      <c r="E15" s="22"/>
      <c r="F15" s="22"/>
      <c r="G15" s="27" t="str">
        <f t="shared" si="0"/>
        <v/>
      </c>
      <c r="H15" s="31" t="str">
        <f t="shared" si="1"/>
        <v/>
      </c>
      <c r="I15" s="28" t="str">
        <f t="shared" si="2"/>
        <v/>
      </c>
      <c r="J15" s="28" t="str">
        <f t="shared" si="3"/>
        <v/>
      </c>
      <c r="K15" s="32" t="str">
        <f>IF(OR(G15="",H15=""),"",IF(ABS(H15-G15)&lt;=1+Setup!$B$16/100*G15,"PASS","FAIL"))</f>
        <v/>
      </c>
    </row>
    <row r="17" spans="1:1" x14ac:dyDescent="0.25">
      <c r="A17" s="7" t="s">
        <v>154</v>
      </c>
    </row>
  </sheetData>
  <conditionalFormatting sqref="K6:K15">
    <cfRule type="cellIs" dxfId="1" priority="2" operator="equal">
      <formula>"PASS"</formula>
    </cfRule>
    <cfRule type="cellIs" dxfId="0" priority="3" operator="equal">
      <formula>"FAIL"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zoomScaleNormal="100" workbookViewId="0"/>
  </sheetViews>
  <sheetFormatPr defaultColWidth="8.7109375" defaultRowHeight="15" x14ac:dyDescent="0.25"/>
  <cols>
    <col min="1" max="1" width="52" customWidth="1"/>
    <col min="2" max="2" width="18" customWidth="1"/>
    <col min="3" max="4" width="20" customWidth="1"/>
    <col min="5" max="5" width="12" customWidth="1"/>
  </cols>
  <sheetData>
    <row r="1" spans="1:5" ht="18" x14ac:dyDescent="0.25">
      <c r="A1" s="6" t="s">
        <v>155</v>
      </c>
    </row>
    <row r="2" spans="1:5" x14ac:dyDescent="0.25">
      <c r="A2" s="7" t="s">
        <v>156</v>
      </c>
    </row>
    <row r="4" spans="1:5" x14ac:dyDescent="0.25">
      <c r="A4" s="9" t="s">
        <v>157</v>
      </c>
      <c r="B4" s="9"/>
      <c r="C4" s="9"/>
      <c r="D4" s="9"/>
      <c r="E4" s="9"/>
    </row>
    <row r="5" spans="1:5" x14ac:dyDescent="0.25">
      <c r="A5" s="10" t="s">
        <v>158</v>
      </c>
      <c r="B5" s="10" t="s">
        <v>159</v>
      </c>
      <c r="C5" s="10" t="s">
        <v>160</v>
      </c>
      <c r="D5" s="10" t="s">
        <v>161</v>
      </c>
      <c r="E5" s="10" t="s">
        <v>162</v>
      </c>
    </row>
    <row r="6" spans="1:5" x14ac:dyDescent="0.25">
      <c r="A6" s="33" t="s">
        <v>163</v>
      </c>
      <c r="B6" s="33" t="s">
        <v>164</v>
      </c>
      <c r="C6" s="34">
        <f>IF(COUNT('Calibration Log'!Y7:Y26)=0,"n/a",AVERAGE('Calibration Log'!Y7:Y26))</f>
        <v>1.0365636245649673E-2</v>
      </c>
      <c r="D6" s="34">
        <f>IF(COUNT('Calibration Log'!Y7:Y26)=0,"n/a",MAX(MAX('Calibration Log'!Y7:Y26),-MIN('Calibration Log'!Y7:Y26)))</f>
        <v>1.7872886110443131E-2</v>
      </c>
      <c r="E6" s="33">
        <f>COUNT('Calibration Log'!Y7:Y26)</f>
        <v>12</v>
      </c>
    </row>
    <row r="7" spans="1:5" x14ac:dyDescent="0.25">
      <c r="A7" s="33" t="s">
        <v>163</v>
      </c>
      <c r="B7" s="33" t="s">
        <v>165</v>
      </c>
      <c r="C7" s="34">
        <f>IF(COUNT('Calibration Log'!Z7:Z26)=0,"n/a",AVERAGE('Calibration Log'!Z7:Z26))</f>
        <v>-1.7357222844344874E-2</v>
      </c>
      <c r="D7" s="34">
        <f>IF(COUNT('Calibration Log'!Z7:Z26)=0,"n/a",MAX(MAX('Calibration Log'!Z7:Z26),-MIN('Calibration Log'!Z7:Z26)))</f>
        <v>1.7357222844344874E-2</v>
      </c>
      <c r="E7" s="33">
        <f>COUNT('Calibration Log'!Z7:Z26)</f>
        <v>1</v>
      </c>
    </row>
    <row r="8" spans="1:5" x14ac:dyDescent="0.25">
      <c r="A8" s="33" t="s">
        <v>163</v>
      </c>
      <c r="B8" s="33" t="s">
        <v>166</v>
      </c>
      <c r="C8" s="34">
        <f>IF(COUNT('Calibration Log'!AA7:AA26)=0,"n/a",AVERAGE('Calibration Log'!AA7:AA26))</f>
        <v>-1.3677665750924883E-2</v>
      </c>
      <c r="D8" s="34">
        <f>IF(COUNT('Calibration Log'!AA7:AA26)=0,"n/a",MAX(MAX('Calibration Log'!AA7:AA26),-MIN('Calibration Log'!AA7:AA26)))</f>
        <v>1.3677665750924883E-2</v>
      </c>
      <c r="E8" s="33">
        <f>COUNT('Calibration Log'!AA7:AA26)</f>
        <v>1</v>
      </c>
    </row>
    <row r="9" spans="1:5" x14ac:dyDescent="0.25">
      <c r="A9" s="33" t="s">
        <v>167</v>
      </c>
      <c r="B9" s="33" t="s">
        <v>164</v>
      </c>
      <c r="C9" s="34">
        <f>IF(COUNT('Calibration Log'!AB7:AB26)=0,"n/a",AVERAGE('Calibration Log'!AB7:AB26))</f>
        <v>1.336141163137277E-2</v>
      </c>
      <c r="D9" s="34">
        <f>IF(COUNT('Calibration Log'!AB7:AB26)=0,"n/a",MAX(MAX('Calibration Log'!AB7:AB26),-MIN('Calibration Log'!AB7:AB26)))</f>
        <v>1.9261637239165203E-2</v>
      </c>
      <c r="E9" s="33">
        <f>COUNT('Calibration Log'!AB7:AB26)</f>
        <v>12</v>
      </c>
    </row>
    <row r="10" spans="1:5" x14ac:dyDescent="0.25">
      <c r="A10" s="33" t="s">
        <v>167</v>
      </c>
      <c r="B10" s="33" t="s">
        <v>165</v>
      </c>
      <c r="C10" s="34">
        <f>IF(COUNT('Calibration Log'!AC7:AC26)=0,"n/a",AVERAGE('Calibration Log'!AC7:AC26))</f>
        <v>-1.7200000000000066E-2</v>
      </c>
      <c r="D10" s="34">
        <f>IF(COUNT('Calibration Log'!AC7:AC26)=0,"n/a",MAX(MAX('Calibration Log'!AC7:AC26),-MIN('Calibration Log'!AC7:AC26)))</f>
        <v>1.7200000000000066E-2</v>
      </c>
      <c r="E10" s="33">
        <f>COUNT('Calibration Log'!AC7:AC26)</f>
        <v>1</v>
      </c>
    </row>
    <row r="11" spans="1:5" x14ac:dyDescent="0.25">
      <c r="A11" s="33" t="s">
        <v>167</v>
      </c>
      <c r="B11" s="33" t="s">
        <v>166</v>
      </c>
      <c r="C11" s="34">
        <f>IF(COUNT('Calibration Log'!AD7:AD26)=0,"n/a",AVERAGE('Calibration Log'!AD7:AD26))</f>
        <v>-1.2500000000000001E-2</v>
      </c>
      <c r="D11" s="34">
        <f>IF(COUNT('Calibration Log'!AD7:AD26)=0,"n/a",MAX(MAX('Calibration Log'!AD7:AD26),-MIN('Calibration Log'!AD7:AD26)))</f>
        <v>1.2500000000000001E-2</v>
      </c>
      <c r="E11" s="33">
        <f>COUNT('Calibration Log'!AD7:AD26)</f>
        <v>1</v>
      </c>
    </row>
    <row r="12" spans="1:5" x14ac:dyDescent="0.25">
      <c r="A12" s="33" t="s">
        <v>168</v>
      </c>
      <c r="B12" s="33" t="s">
        <v>164</v>
      </c>
      <c r="C12" s="34">
        <f>IF(COUNT('Calibration Log'!AE7:AE26)=0,"n/a",AVERAGE('Calibration Log'!AE7:AE26))</f>
        <v>1.0630970652441694E-2</v>
      </c>
      <c r="D12" s="34">
        <f>IF(COUNT('Calibration Log'!AE7:AE26)=0,"n/a",MAX(MAX('Calibration Log'!AE7:AE26),-MIN('Calibration Log'!AE7:AE26)))</f>
        <v>1.4666987256552041E-2</v>
      </c>
      <c r="E12" s="33">
        <f>COUNT('Calibration Log'!AE7:AE26)</f>
        <v>12</v>
      </c>
    </row>
    <row r="13" spans="1:5" x14ac:dyDescent="0.25">
      <c r="A13" s="33" t="s">
        <v>168</v>
      </c>
      <c r="B13" s="33" t="s">
        <v>165</v>
      </c>
      <c r="C13" s="34">
        <f>IF(COUNT('Calibration Log'!AF7:AF26)=0,"n/a",AVERAGE('Calibration Log'!AF7:AF26))</f>
        <v>-1.7357222844344874E-2</v>
      </c>
      <c r="D13" s="34">
        <f>IF(COUNT('Calibration Log'!AF7:AF26)=0,"n/a",MAX(MAX('Calibration Log'!AF7:AF26),-MIN('Calibration Log'!AF7:AF26)))</f>
        <v>1.7357222844344874E-2</v>
      </c>
      <c r="E13" s="33">
        <f>COUNT('Calibration Log'!AF7:AF26)</f>
        <v>1</v>
      </c>
    </row>
    <row r="14" spans="1:5" x14ac:dyDescent="0.25">
      <c r="A14" s="33" t="s">
        <v>168</v>
      </c>
      <c r="B14" s="33" t="s">
        <v>166</v>
      </c>
      <c r="C14" s="34">
        <f>IF(COUNT('Calibration Log'!AG7:AG26)=0,"n/a",AVERAGE('Calibration Log'!AG7:AG26))</f>
        <v>-1.3677665750924883E-2</v>
      </c>
      <c r="D14" s="34">
        <f>IF(COUNT('Calibration Log'!AG7:AG26)=0,"n/a",MAX(MAX('Calibration Log'!AG7:AG26),-MIN('Calibration Log'!AG7:AG26)))</f>
        <v>1.3677665750924883E-2</v>
      </c>
      <c r="E14" s="33">
        <f>COUNT('Calibration Log'!AG7:AG26)</f>
        <v>1</v>
      </c>
    </row>
    <row r="15" spans="1:5" x14ac:dyDescent="0.25">
      <c r="A15" s="33" t="s">
        <v>169</v>
      </c>
      <c r="B15" s="33" t="s">
        <v>164</v>
      </c>
      <c r="C15" s="34">
        <f>IF(COUNT('Calibration Log'!AH7:AH26)=0,"n/a",AVERAGE('Calibration Log'!AH7:AH26))</f>
        <v>1.3628058527391351E-2</v>
      </c>
      <c r="D15" s="34">
        <f>IF(COUNT('Calibration Log'!AH7:AH26)=0,"n/a",MAX(MAX('Calibration Log'!AH7:AH26),-MIN('Calibration Log'!AH7:AH26)))</f>
        <v>1.6051364365971051E-2</v>
      </c>
      <c r="E15" s="33">
        <f>COUNT('Calibration Log'!AH7:AH26)</f>
        <v>12</v>
      </c>
    </row>
    <row r="16" spans="1:5" x14ac:dyDescent="0.25">
      <c r="A16" s="33" t="s">
        <v>169</v>
      </c>
      <c r="B16" s="33" t="s">
        <v>165</v>
      </c>
      <c r="C16" s="34">
        <f>IF(COUNT('Calibration Log'!AI7:AI26)=0,"n/a",AVERAGE('Calibration Log'!AI7:AI26))</f>
        <v>-1.7200000000000066E-2</v>
      </c>
      <c r="D16" s="34">
        <f>IF(COUNT('Calibration Log'!AI7:AI26)=0,"n/a",MAX(MAX('Calibration Log'!AI7:AI26),-MIN('Calibration Log'!AI7:AI26)))</f>
        <v>1.7200000000000066E-2</v>
      </c>
      <c r="E16" s="33">
        <f>COUNT('Calibration Log'!AI7:AI26)</f>
        <v>1</v>
      </c>
    </row>
    <row r="17" spans="1:5" x14ac:dyDescent="0.25">
      <c r="A17" s="33" t="s">
        <v>169</v>
      </c>
      <c r="B17" s="33" t="s">
        <v>166</v>
      </c>
      <c r="C17" s="34">
        <f>IF(COUNT('Calibration Log'!AJ7:AJ26)=0,"n/a",AVERAGE('Calibration Log'!AJ7:AJ26))</f>
        <v>-1.2500000000000001E-2</v>
      </c>
      <c r="D17" s="34">
        <f>IF(COUNT('Calibration Log'!AJ7:AJ26)=0,"n/a",MAX(MAX('Calibration Log'!AJ7:AJ26),-MIN('Calibration Log'!AJ7:AJ26)))</f>
        <v>1.2500000000000001E-2</v>
      </c>
      <c r="E17" s="33">
        <f>COUNT('Calibration Log'!AJ7:AJ26)</f>
        <v>1</v>
      </c>
    </row>
    <row r="18" spans="1:5" x14ac:dyDescent="0.25">
      <c r="A18" s="33" t="s">
        <v>170</v>
      </c>
      <c r="B18" s="33" t="s">
        <v>164</v>
      </c>
      <c r="C18" s="34">
        <f>IF(COUNT('Calibration Log'!AK7:AK26)=0,"n/a",AVERAGE('Calibration Log'!AK7:AK26))</f>
        <v>2.9659152866315305E-3</v>
      </c>
      <c r="D18" s="34">
        <f>IF(COUNT('Calibration Log'!AK7:AK26)=0,"n/a",MAX(MAX('Calibration Log'!AK7:AK26),-MIN('Calibration Log'!AK7:AK26)))</f>
        <v>5.3990610328639157E-3</v>
      </c>
      <c r="E18" s="33">
        <f>COUNT('Calibration Log'!AK7:AK26)</f>
        <v>12</v>
      </c>
    </row>
    <row r="19" spans="1:5" x14ac:dyDescent="0.25">
      <c r="A19" s="33" t="s">
        <v>170</v>
      </c>
      <c r="B19" s="33" t="s">
        <v>165</v>
      </c>
      <c r="C19" s="34">
        <f>IF(COUNT('Calibration Log'!AL7:AL26)=0,"n/a",AVERAGE('Calibration Log'!AL7:AL26))</f>
        <v>3.6031853818181823E-2</v>
      </c>
      <c r="D19" s="34">
        <f>IF(COUNT('Calibration Log'!AL7:AL26)=0,"n/a",MAX(MAX('Calibration Log'!AL7:AL26),-MIN('Calibration Log'!AL7:AL26)))</f>
        <v>0.7847429600000001</v>
      </c>
      <c r="E19" s="33">
        <f>COUNT('Calibration Log'!AL7:AL26)</f>
        <v>11</v>
      </c>
    </row>
    <row r="20" spans="1:5" x14ac:dyDescent="0.25">
      <c r="A20" s="33" t="s">
        <v>170</v>
      </c>
      <c r="B20" s="33" t="s">
        <v>166</v>
      </c>
      <c r="C20" s="34">
        <f>IF(COUNT('Calibration Log'!AM7:AM26)=0,"n/a",AVERAGE('Calibration Log'!AM7:AM26))</f>
        <v>1.1939968406185243E-3</v>
      </c>
      <c r="D20" s="34">
        <f>IF(COUNT('Calibration Log'!AM7:AM26)=0,"n/a",MAX(MAX('Calibration Log'!AM7:AM26),-MIN('Calibration Log'!AM7:AM26)))</f>
        <v>1.1939968406185243E-3</v>
      </c>
      <c r="E20" s="33">
        <f>COUNT('Calibration Log'!AM7:AM26)</f>
        <v>1</v>
      </c>
    </row>
    <row r="22" spans="1:5" x14ac:dyDescent="0.25">
      <c r="A22" s="8" t="s">
        <v>171</v>
      </c>
    </row>
    <row r="23" spans="1:5" x14ac:dyDescent="0.25">
      <c r="A23" s="7" t="s">
        <v>172</v>
      </c>
      <c r="B23" s="7"/>
      <c r="C23" s="7">
        <f>COUNTIF('Calibration Log'!AO7:AO26,"PASS")</f>
        <v>1</v>
      </c>
      <c r="D23" s="7"/>
      <c r="E23" s="7"/>
    </row>
    <row r="24" spans="1:5" x14ac:dyDescent="0.25">
      <c r="A24" s="7" t="s">
        <v>173</v>
      </c>
      <c r="B24" s="7"/>
      <c r="C24" s="7">
        <f>COUNTIF('Calibration Log'!AO7:AO26,"FAIL")</f>
        <v>0</v>
      </c>
      <c r="D24" s="7"/>
      <c r="E24" s="7"/>
    </row>
    <row r="25" spans="1:5" x14ac:dyDescent="0.25">
      <c r="A25" s="7" t="s">
        <v>174</v>
      </c>
      <c r="B25" s="7"/>
      <c r="C25" s="7">
        <f>COUNTIF('Calibration Log'!AN7:AN26,"CHECK")</f>
        <v>0</v>
      </c>
      <c r="D25" s="7"/>
      <c r="E25" s="7"/>
    </row>
    <row r="27" spans="1:5" x14ac:dyDescent="0.25">
      <c r="A27" s="9" t="s">
        <v>175</v>
      </c>
      <c r="B27" s="9"/>
      <c r="C27" s="9"/>
      <c r="D27" s="9"/>
      <c r="E27" s="9"/>
    </row>
    <row r="28" spans="1:5" ht="25.5" x14ac:dyDescent="0.25">
      <c r="A28" s="10" t="s">
        <v>39</v>
      </c>
      <c r="B28" s="10" t="s">
        <v>176</v>
      </c>
      <c r="C28" s="10" t="s">
        <v>177</v>
      </c>
      <c r="D28" s="10" t="s">
        <v>178</v>
      </c>
      <c r="E28" s="10" t="s">
        <v>162</v>
      </c>
    </row>
    <row r="29" spans="1:5" x14ac:dyDescent="0.25">
      <c r="A29" s="33" t="s">
        <v>44</v>
      </c>
      <c r="B29" s="33">
        <f>Setup!$B$27</f>
        <v>10926</v>
      </c>
      <c r="C29" s="35">
        <f>IF(COUNT('Calibration Log'!AP7:AP26)=0,"n/a",AVERAGE('Calibration Log'!AP7:AP26))</f>
        <v>0.9897556338294865</v>
      </c>
      <c r="D29" s="33">
        <f>IF(ISNUMBER(C29),ROUND(B29*C29,0),"n/a")</f>
        <v>10814</v>
      </c>
      <c r="E29" s="33">
        <f>COUNT('Calibration Log'!AP7:AP26)</f>
        <v>12</v>
      </c>
    </row>
    <row r="30" spans="1:5" x14ac:dyDescent="0.25">
      <c r="A30" s="33" t="s">
        <v>47</v>
      </c>
      <c r="B30" s="33">
        <f>Setup!$B$28</f>
        <v>3877</v>
      </c>
      <c r="C30" s="35">
        <f>IF(COUNT('Calibration Log'!AQ7:AQ26)=0,"n/a",AVERAGE('Calibration Log'!AQ7:AQ26))</f>
        <v>1.0176638176638175</v>
      </c>
      <c r="D30" s="33">
        <f>IF(ISNUMBER(C30),ROUND(B30*C30,0),"n/a")</f>
        <v>3945</v>
      </c>
      <c r="E30" s="33">
        <f>COUNT('Calibration Log'!AQ7:AQ26)</f>
        <v>1</v>
      </c>
    </row>
    <row r="31" spans="1:5" x14ac:dyDescent="0.25">
      <c r="A31" s="33" t="s">
        <v>50</v>
      </c>
      <c r="B31" s="33">
        <f>Setup!$B$29</f>
        <v>4236</v>
      </c>
      <c r="C31" s="35">
        <f>IF(COUNT('Calibration Log'!AR7:AR26)=0,"n/a",AVERAGE('Calibration Log'!AR7:AR26))</f>
        <v>1.0138673385727783</v>
      </c>
      <c r="D31" s="33">
        <f>IF(ISNUMBER(C31),ROUND(B31*C31,0),"n/a")</f>
        <v>4295</v>
      </c>
      <c r="E31" s="33">
        <f>COUNT('Calibration Log'!AR7:AR26)</f>
        <v>1</v>
      </c>
    </row>
    <row r="33" spans="1:5" x14ac:dyDescent="0.25">
      <c r="A33" s="7" t="s">
        <v>179</v>
      </c>
      <c r="B33" s="7"/>
      <c r="C33" s="7"/>
      <c r="D33" s="36">
        <f>Setup!B39</f>
        <v>422</v>
      </c>
      <c r="E33" s="7"/>
    </row>
    <row r="34" spans="1:5" x14ac:dyDescent="0.25">
      <c r="A34" s="7" t="s">
        <v>180</v>
      </c>
      <c r="B34" s="7"/>
      <c r="C34" s="37">
        <f>IF(AND(ISNUMBER(C29),ISNUMBER(C30),ISNUMBER(C31)),C29*C30/C31,"n/a")</f>
        <v>0.99346182538543659</v>
      </c>
      <c r="D34" s="7" t="str">
        <f>IF(ISNUMBER(C34),IF(ABS(C34-1)&gt;0.02,"V x I does not explain P: suspect V/I sample skew or phase","consistent"),"")</f>
        <v>consistent</v>
      </c>
      <c r="E34" s="7"/>
    </row>
    <row r="35" spans="1:5" x14ac:dyDescent="0.25">
      <c r="A35" s="7" t="s">
        <v>181</v>
      </c>
      <c r="B35" s="7"/>
      <c r="C35" s="7"/>
      <c r="D35" s="7"/>
      <c r="E35" s="7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Calibration Log</vt:lpstr>
      <vt:lpstr>Energy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Uzayr Scholtz</cp:lastModifiedBy>
  <cp:revision>1</cp:revision>
  <dcterms:created xsi:type="dcterms:W3CDTF">2026-10-18T01:03:53Z</dcterms:created>
  <dcterms:modified xsi:type="dcterms:W3CDTF">2026-10-18T10:47:29Z</dcterms:modified>
  <dc:language>en-US</dc:language>
</cp:coreProperties>
</file>