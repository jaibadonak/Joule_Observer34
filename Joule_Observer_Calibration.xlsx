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209 Lab work\209 Project folder\Joule_Observer34\"/>
    </mc:Choice>
  </mc:AlternateContent>
  <xr:revisionPtr revIDLastSave="0" documentId="13_ncr:1_{0117DC13-A147-4FF5-B06E-186940C8DF1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etup" sheetId="1" r:id="rId1"/>
    <sheet name="Calibration Log" sheetId="2" r:id="rId2"/>
    <sheet name="Energy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2" l="1"/>
  <c r="L29" i="2"/>
  <c r="X29" i="2" s="1"/>
  <c r="Y29" i="2" s="1"/>
  <c r="L30" i="2"/>
  <c r="X30" i="2" s="1"/>
  <c r="Y30" i="2" s="1"/>
  <c r="L31" i="2"/>
  <c r="X31" i="2" s="1"/>
  <c r="Y31" i="2" s="1"/>
  <c r="L32" i="2"/>
  <c r="X32" i="2" s="1"/>
  <c r="Y32" i="2" s="1"/>
  <c r="L33" i="2"/>
  <c r="X33" i="2" s="1"/>
  <c r="Y33" i="2" s="1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28" i="2"/>
  <c r="X28" i="2" s="1"/>
  <c r="Y28" i="2" s="1"/>
  <c r="AR47" i="2"/>
  <c r="AP47" i="2"/>
  <c r="AG47" i="2"/>
  <c r="AA47" i="2"/>
  <c r="X47" i="2"/>
  <c r="Y47" i="2" s="1"/>
  <c r="W47" i="2"/>
  <c r="V47" i="2"/>
  <c r="U47" i="2"/>
  <c r="AR46" i="2"/>
  <c r="AP46" i="2"/>
  <c r="AG46" i="2"/>
  <c r="AA46" i="2"/>
  <c r="X46" i="2"/>
  <c r="Y46" i="2" s="1"/>
  <c r="W46" i="2"/>
  <c r="V46" i="2"/>
  <c r="U46" i="2"/>
  <c r="AR45" i="2"/>
  <c r="AP45" i="2"/>
  <c r="AG45" i="2"/>
  <c r="AA45" i="2"/>
  <c r="X45" i="2"/>
  <c r="Y45" i="2" s="1"/>
  <c r="W45" i="2"/>
  <c r="V45" i="2"/>
  <c r="U45" i="2"/>
  <c r="AR44" i="2"/>
  <c r="AP44" i="2"/>
  <c r="AG44" i="2"/>
  <c r="AA44" i="2"/>
  <c r="X44" i="2"/>
  <c r="Y44" i="2" s="1"/>
  <c r="W44" i="2"/>
  <c r="V44" i="2"/>
  <c r="U44" i="2"/>
  <c r="AR43" i="2"/>
  <c r="AP43" i="2"/>
  <c r="AG43" i="2"/>
  <c r="AA43" i="2"/>
  <c r="X43" i="2"/>
  <c r="Y43" i="2" s="1"/>
  <c r="W43" i="2"/>
  <c r="V43" i="2"/>
  <c r="U43" i="2"/>
  <c r="AR42" i="2"/>
  <c r="AP42" i="2"/>
  <c r="AG42" i="2"/>
  <c r="AA42" i="2"/>
  <c r="X42" i="2"/>
  <c r="Y42" i="2" s="1"/>
  <c r="W42" i="2"/>
  <c r="V42" i="2"/>
  <c r="U42" i="2"/>
  <c r="AR41" i="2"/>
  <c r="AP41" i="2"/>
  <c r="AG41" i="2"/>
  <c r="AA41" i="2"/>
  <c r="X41" i="2"/>
  <c r="Y41" i="2" s="1"/>
  <c r="W41" i="2"/>
  <c r="V41" i="2"/>
  <c r="U41" i="2"/>
  <c r="AR40" i="2"/>
  <c r="AP40" i="2"/>
  <c r="AG40" i="2"/>
  <c r="AA40" i="2"/>
  <c r="X40" i="2"/>
  <c r="Y40" i="2" s="1"/>
  <c r="W40" i="2"/>
  <c r="V40" i="2"/>
  <c r="U40" i="2"/>
  <c r="AR39" i="2"/>
  <c r="AP39" i="2"/>
  <c r="AG39" i="2"/>
  <c r="AA39" i="2"/>
  <c r="X39" i="2"/>
  <c r="Y39" i="2" s="1"/>
  <c r="W39" i="2"/>
  <c r="AS39" i="2" s="1"/>
  <c r="V39" i="2"/>
  <c r="U39" i="2"/>
  <c r="AR38" i="2"/>
  <c r="AP38" i="2"/>
  <c r="AG38" i="2"/>
  <c r="AA38" i="2"/>
  <c r="X38" i="2"/>
  <c r="Y38" i="2" s="1"/>
  <c r="W38" i="2"/>
  <c r="V38" i="2"/>
  <c r="U38" i="2"/>
  <c r="AR37" i="2"/>
  <c r="AP37" i="2"/>
  <c r="AG37" i="2"/>
  <c r="AA37" i="2"/>
  <c r="X37" i="2"/>
  <c r="Y37" i="2" s="1"/>
  <c r="W37" i="2"/>
  <c r="V37" i="2"/>
  <c r="U37" i="2"/>
  <c r="AR36" i="2"/>
  <c r="AP36" i="2"/>
  <c r="AG36" i="2"/>
  <c r="AA36" i="2"/>
  <c r="X36" i="2"/>
  <c r="Y36" i="2" s="1"/>
  <c r="W36" i="2"/>
  <c r="V36" i="2"/>
  <c r="U36" i="2"/>
  <c r="AR35" i="2"/>
  <c r="AP35" i="2"/>
  <c r="AG35" i="2"/>
  <c r="AA35" i="2"/>
  <c r="X35" i="2"/>
  <c r="Y35" i="2" s="1"/>
  <c r="W35" i="2"/>
  <c r="V35" i="2"/>
  <c r="U35" i="2"/>
  <c r="AR34" i="2"/>
  <c r="AP34" i="2"/>
  <c r="AG34" i="2"/>
  <c r="AA34" i="2"/>
  <c r="X34" i="2"/>
  <c r="Y34" i="2" s="1"/>
  <c r="W34" i="2"/>
  <c r="V34" i="2"/>
  <c r="U34" i="2"/>
  <c r="AR33" i="2"/>
  <c r="AP33" i="2"/>
  <c r="AG33" i="2"/>
  <c r="AA33" i="2"/>
  <c r="W33" i="2"/>
  <c r="V33" i="2"/>
  <c r="U33" i="2"/>
  <c r="AR32" i="2"/>
  <c r="AP32" i="2"/>
  <c r="AG32" i="2"/>
  <c r="AA32" i="2"/>
  <c r="W32" i="2"/>
  <c r="V32" i="2"/>
  <c r="U32" i="2"/>
  <c r="AR31" i="2"/>
  <c r="AP31" i="2"/>
  <c r="AG31" i="2"/>
  <c r="AA31" i="2"/>
  <c r="W31" i="2"/>
  <c r="V31" i="2"/>
  <c r="U31" i="2"/>
  <c r="AR30" i="2"/>
  <c r="AP30" i="2"/>
  <c r="AG30" i="2"/>
  <c r="AA30" i="2"/>
  <c r="W30" i="2"/>
  <c r="V30" i="2"/>
  <c r="U30" i="2"/>
  <c r="AR29" i="2"/>
  <c r="AP29" i="2"/>
  <c r="AG29" i="2"/>
  <c r="AA29" i="2"/>
  <c r="W29" i="2"/>
  <c r="V29" i="2"/>
  <c r="U29" i="2"/>
  <c r="AR28" i="2"/>
  <c r="AP28" i="2"/>
  <c r="AG28" i="2"/>
  <c r="AA28" i="2"/>
  <c r="W2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L8" i="2"/>
  <c r="X8" i="2" s="1"/>
  <c r="Y8" i="2" s="1"/>
  <c r="AR20" i="2"/>
  <c r="AP20" i="2"/>
  <c r="AG20" i="2"/>
  <c r="AA20" i="2"/>
  <c r="X20" i="2"/>
  <c r="Y20" i="2" s="1"/>
  <c r="W20" i="2"/>
  <c r="V20" i="2"/>
  <c r="AL20" i="2" s="1"/>
  <c r="U20" i="2"/>
  <c r="AK20" i="2" s="1"/>
  <c r="T20" i="2"/>
  <c r="AR19" i="2"/>
  <c r="AP19" i="2"/>
  <c r="AG19" i="2"/>
  <c r="AA19" i="2"/>
  <c r="X19" i="2"/>
  <c r="Y19" i="2" s="1"/>
  <c r="W19" i="2"/>
  <c r="AB19" i="2" s="1"/>
  <c r="V19" i="2"/>
  <c r="AF19" i="2" s="1"/>
  <c r="U19" i="2"/>
  <c r="AK19" i="2" s="1"/>
  <c r="T19" i="2"/>
  <c r="AR18" i="2"/>
  <c r="AP18" i="2"/>
  <c r="AG18" i="2"/>
  <c r="AA18" i="2"/>
  <c r="X18" i="2"/>
  <c r="Y18" i="2" s="1"/>
  <c r="W18" i="2"/>
  <c r="V18" i="2"/>
  <c r="AL18" i="2" s="1"/>
  <c r="U18" i="2"/>
  <c r="AK18" i="2" s="1"/>
  <c r="T18" i="2"/>
  <c r="AR17" i="2"/>
  <c r="AP17" i="2"/>
  <c r="AG17" i="2"/>
  <c r="AA17" i="2"/>
  <c r="X17" i="2"/>
  <c r="Y17" i="2" s="1"/>
  <c r="W17" i="2"/>
  <c r="AB17" i="2" s="1"/>
  <c r="V17" i="2"/>
  <c r="AF17" i="2" s="1"/>
  <c r="U17" i="2"/>
  <c r="AE17" i="2" s="1"/>
  <c r="T17" i="2"/>
  <c r="B31" i="4"/>
  <c r="B30" i="4"/>
  <c r="B29" i="4"/>
  <c r="H15" i="3"/>
  <c r="G15" i="3"/>
  <c r="J14" i="3"/>
  <c r="H14" i="3"/>
  <c r="K14" i="3" s="1"/>
  <c r="G14" i="3"/>
  <c r="J13" i="3"/>
  <c r="H13" i="3"/>
  <c r="G13" i="3"/>
  <c r="K13" i="3" s="1"/>
  <c r="H12" i="3"/>
  <c r="G12" i="3"/>
  <c r="J12" i="3" s="1"/>
  <c r="K11" i="3"/>
  <c r="H11" i="3"/>
  <c r="G11" i="3"/>
  <c r="J11" i="3" s="1"/>
  <c r="H10" i="3"/>
  <c r="G10" i="3"/>
  <c r="K9" i="3"/>
  <c r="J9" i="3"/>
  <c r="I9" i="3"/>
  <c r="H9" i="3"/>
  <c r="G9" i="3"/>
  <c r="H8" i="3"/>
  <c r="G8" i="3"/>
  <c r="K8" i="3" s="1"/>
  <c r="H7" i="3"/>
  <c r="G7" i="3"/>
  <c r="H6" i="3"/>
  <c r="G6" i="3"/>
  <c r="K6" i="3" s="1"/>
  <c r="AR26" i="2"/>
  <c r="AP26" i="2"/>
  <c r="AG26" i="2"/>
  <c r="AA26" i="2"/>
  <c r="X26" i="2"/>
  <c r="Y26" i="2" s="1"/>
  <c r="W26" i="2"/>
  <c r="AH26" i="2" s="1"/>
  <c r="V26" i="2"/>
  <c r="AL26" i="2" s="1"/>
  <c r="U26" i="2"/>
  <c r="T26" i="2"/>
  <c r="AR25" i="2"/>
  <c r="AP25" i="2"/>
  <c r="AG25" i="2"/>
  <c r="AA25" i="2"/>
  <c r="X25" i="2"/>
  <c r="Y25" i="2" s="1"/>
  <c r="W25" i="2"/>
  <c r="AS25" i="2" s="1"/>
  <c r="V25" i="2"/>
  <c r="U25" i="2"/>
  <c r="AK25" i="2" s="1"/>
  <c r="T25" i="2"/>
  <c r="AR24" i="2"/>
  <c r="AP24" i="2"/>
  <c r="AG24" i="2"/>
  <c r="AA24" i="2"/>
  <c r="X24" i="2"/>
  <c r="Y24" i="2" s="1"/>
  <c r="W24" i="2"/>
  <c r="AH24" i="2" s="1"/>
  <c r="V24" i="2"/>
  <c r="U24" i="2"/>
  <c r="AK24" i="2" s="1"/>
  <c r="T24" i="2"/>
  <c r="AM24" i="2" s="1"/>
  <c r="AR23" i="2"/>
  <c r="AP23" i="2"/>
  <c r="AG23" i="2"/>
  <c r="AA23" i="2"/>
  <c r="X23" i="2"/>
  <c r="Y23" i="2" s="1"/>
  <c r="W23" i="2"/>
  <c r="AS23" i="2" s="1"/>
  <c r="V23" i="2"/>
  <c r="AF23" i="2" s="1"/>
  <c r="U23" i="2"/>
  <c r="AE23" i="2" s="1"/>
  <c r="T23" i="2"/>
  <c r="AJ23" i="2" s="1"/>
  <c r="AR22" i="2"/>
  <c r="AP22" i="2"/>
  <c r="AG22" i="2"/>
  <c r="AA22" i="2"/>
  <c r="X22" i="2"/>
  <c r="Y22" i="2" s="1"/>
  <c r="W22" i="2"/>
  <c r="V22" i="2"/>
  <c r="AL22" i="2" s="1"/>
  <c r="U22" i="2"/>
  <c r="AK22" i="2" s="1"/>
  <c r="T22" i="2"/>
  <c r="AM22" i="2" s="1"/>
  <c r="AR21" i="2"/>
  <c r="AP21" i="2"/>
  <c r="AG21" i="2"/>
  <c r="AA21" i="2"/>
  <c r="X21" i="2"/>
  <c r="Y21" i="2" s="1"/>
  <c r="W21" i="2"/>
  <c r="AB21" i="2" s="1"/>
  <c r="V21" i="2"/>
  <c r="AL21" i="2" s="1"/>
  <c r="U21" i="2"/>
  <c r="AE21" i="2" s="1"/>
  <c r="T21" i="2"/>
  <c r="AD21" i="2" s="1"/>
  <c r="AR16" i="2"/>
  <c r="AP16" i="2"/>
  <c r="AG16" i="2"/>
  <c r="AA16" i="2"/>
  <c r="X16" i="2"/>
  <c r="Y16" i="2" s="1"/>
  <c r="W16" i="2"/>
  <c r="AB16" i="2" s="1"/>
  <c r="V16" i="2"/>
  <c r="U16" i="2"/>
  <c r="AK16" i="2" s="1"/>
  <c r="T16" i="2"/>
  <c r="AM16" i="2" s="1"/>
  <c r="AR11" i="2"/>
  <c r="AP11" i="2"/>
  <c r="AG11" i="2"/>
  <c r="AA11" i="2"/>
  <c r="X11" i="2"/>
  <c r="Y11" i="2" s="1"/>
  <c r="W11" i="2"/>
  <c r="AS11" i="2" s="1"/>
  <c r="V11" i="2"/>
  <c r="AF11" i="2" s="1"/>
  <c r="U11" i="2"/>
  <c r="AE11" i="2" s="1"/>
  <c r="T11" i="2"/>
  <c r="AJ11" i="2" s="1"/>
  <c r="AR10" i="2"/>
  <c r="AP10" i="2"/>
  <c r="AG10" i="2"/>
  <c r="AA10" i="2"/>
  <c r="X10" i="2"/>
  <c r="Y10" i="2" s="1"/>
  <c r="W10" i="2"/>
  <c r="AH10" i="2" s="1"/>
  <c r="V10" i="2"/>
  <c r="U10" i="2"/>
  <c r="T10" i="2"/>
  <c r="AR9" i="2"/>
  <c r="AP9" i="2"/>
  <c r="AG9" i="2"/>
  <c r="AA9" i="2"/>
  <c r="X9" i="2"/>
  <c r="Y9" i="2" s="1"/>
  <c r="W9" i="2"/>
  <c r="AS9" i="2" s="1"/>
  <c r="V9" i="2"/>
  <c r="AL9" i="2" s="1"/>
  <c r="U9" i="2"/>
  <c r="AK9" i="2" s="1"/>
  <c r="T9" i="2"/>
  <c r="AR8" i="2"/>
  <c r="AP8" i="2"/>
  <c r="AG8" i="2"/>
  <c r="AA8" i="2"/>
  <c r="W8" i="2"/>
  <c r="AH8" i="2" s="1"/>
  <c r="V8" i="2"/>
  <c r="U8" i="2"/>
  <c r="AK8" i="2" s="1"/>
  <c r="T8" i="2"/>
  <c r="AJ8" i="2" s="1"/>
  <c r="AR7" i="2"/>
  <c r="AP7" i="2"/>
  <c r="AG7" i="2"/>
  <c r="AA7" i="2"/>
  <c r="X7" i="2"/>
  <c r="Y7" i="2" s="1"/>
  <c r="W7" i="2"/>
  <c r="AS7" i="2" s="1"/>
  <c r="V7" i="2"/>
  <c r="AL7" i="2" s="1"/>
  <c r="U7" i="2"/>
  <c r="AE7" i="2" s="1"/>
  <c r="T7" i="2"/>
  <c r="AJ7" i="2" s="1"/>
  <c r="B45" i="1"/>
  <c r="B44" i="1"/>
  <c r="B43" i="1"/>
  <c r="B38" i="1"/>
  <c r="B39" i="1" s="1"/>
  <c r="D33" i="4" s="1"/>
  <c r="B37" i="1"/>
  <c r="B41" i="1" s="1"/>
  <c r="U28" i="2" l="1"/>
  <c r="V28" i="2"/>
  <c r="AS31" i="2"/>
  <c r="AN31" i="2"/>
  <c r="AF31" i="2"/>
  <c r="AL31" i="2"/>
  <c r="AM47" i="2"/>
  <c r="AJ47" i="2"/>
  <c r="AD47" i="2"/>
  <c r="AM46" i="2"/>
  <c r="AJ46" i="2"/>
  <c r="AD46" i="2"/>
  <c r="AM45" i="2"/>
  <c r="AJ45" i="2"/>
  <c r="AD45" i="2"/>
  <c r="AJ44" i="2"/>
  <c r="AM44" i="2"/>
  <c r="AD44" i="2"/>
  <c r="AD43" i="2"/>
  <c r="AJ43" i="2"/>
  <c r="AM43" i="2"/>
  <c r="AM42" i="2"/>
  <c r="AD42" i="2"/>
  <c r="AJ42" i="2"/>
  <c r="AM41" i="2"/>
  <c r="AJ41" i="2"/>
  <c r="AD41" i="2"/>
  <c r="AJ40" i="2"/>
  <c r="AD40" i="2"/>
  <c r="AM40" i="2"/>
  <c r="AM39" i="2"/>
  <c r="AJ39" i="2"/>
  <c r="AD39" i="2"/>
  <c r="AD38" i="2"/>
  <c r="AJ38" i="2"/>
  <c r="AM38" i="2"/>
  <c r="AM37" i="2"/>
  <c r="AJ37" i="2"/>
  <c r="AD37" i="2"/>
  <c r="AM36" i="2"/>
  <c r="AJ36" i="2"/>
  <c r="AD36" i="2"/>
  <c r="AD35" i="2"/>
  <c r="AM35" i="2"/>
  <c r="AJ35" i="2"/>
  <c r="AM34" i="2"/>
  <c r="AD34" i="2"/>
  <c r="AJ34" i="2"/>
  <c r="AJ33" i="2"/>
  <c r="AD33" i="2"/>
  <c r="AM33" i="2"/>
  <c r="AM32" i="2"/>
  <c r="AD32" i="2"/>
  <c r="AJ32" i="2"/>
  <c r="AD31" i="2"/>
  <c r="AJ31" i="2"/>
  <c r="AM31" i="2"/>
  <c r="AD30" i="2"/>
  <c r="AM30" i="2"/>
  <c r="AJ30" i="2"/>
  <c r="AD29" i="2"/>
  <c r="AJ29" i="2"/>
  <c r="AM29" i="2"/>
  <c r="AJ28" i="2"/>
  <c r="AM28" i="2"/>
  <c r="AD28" i="2"/>
  <c r="AH47" i="2"/>
  <c r="AB47" i="2"/>
  <c r="AS47" i="2"/>
  <c r="AN47" i="2"/>
  <c r="Z47" i="2"/>
  <c r="AQ47" i="2" s="1"/>
  <c r="AL47" i="2"/>
  <c r="AF47" i="2"/>
  <c r="AK47" i="2"/>
  <c r="AE47" i="2"/>
  <c r="Z46" i="2"/>
  <c r="AQ46" i="2" s="1"/>
  <c r="AN46" i="2"/>
  <c r="AB46" i="2"/>
  <c r="AS46" i="2"/>
  <c r="AH46" i="2"/>
  <c r="AF46" i="2"/>
  <c r="AL46" i="2"/>
  <c r="AE46" i="2"/>
  <c r="AK46" i="2"/>
  <c r="AN45" i="2"/>
  <c r="AS45" i="2"/>
  <c r="AH45" i="2"/>
  <c r="Z45" i="2"/>
  <c r="AQ45" i="2" s="1"/>
  <c r="AB45" i="2"/>
  <c r="AL45" i="2"/>
  <c r="AF45" i="2"/>
  <c r="AE45" i="2"/>
  <c r="AK45" i="2"/>
  <c r="AN44" i="2"/>
  <c r="AB44" i="2"/>
  <c r="Z44" i="2"/>
  <c r="AQ44" i="2" s="1"/>
  <c r="AH44" i="2"/>
  <c r="AS44" i="2"/>
  <c r="AL44" i="2"/>
  <c r="AF44" i="2"/>
  <c r="AK44" i="2"/>
  <c r="AE44" i="2"/>
  <c r="AH43" i="2"/>
  <c r="AB43" i="2"/>
  <c r="Z43" i="2"/>
  <c r="AQ43" i="2" s="1"/>
  <c r="AN43" i="2"/>
  <c r="AS43" i="2"/>
  <c r="AL43" i="2"/>
  <c r="AF43" i="2"/>
  <c r="AK43" i="2"/>
  <c r="AE43" i="2"/>
  <c r="AH42" i="2"/>
  <c r="AB42" i="2"/>
  <c r="Z42" i="2"/>
  <c r="AQ42" i="2" s="1"/>
  <c r="AN42" i="2"/>
  <c r="AS42" i="2"/>
  <c r="AL42" i="2"/>
  <c r="AF42" i="2"/>
  <c r="AK42" i="2"/>
  <c r="AE42" i="2"/>
  <c r="AH41" i="2"/>
  <c r="AB41" i="2"/>
  <c r="Z41" i="2"/>
  <c r="AN41" i="2"/>
  <c r="AS41" i="2"/>
  <c r="AQ41" i="2"/>
  <c r="AL41" i="2"/>
  <c r="AF41" i="2"/>
  <c r="AK41" i="2"/>
  <c r="AE41" i="2"/>
  <c r="AS40" i="2"/>
  <c r="Z40" i="2"/>
  <c r="AQ40" i="2" s="1"/>
  <c r="AN40" i="2"/>
  <c r="AH40" i="2"/>
  <c r="AB40" i="2"/>
  <c r="AF40" i="2"/>
  <c r="AL40" i="2"/>
  <c r="AE40" i="2"/>
  <c r="AK40" i="2"/>
  <c r="Z39" i="2"/>
  <c r="AB39" i="2"/>
  <c r="AN39" i="2"/>
  <c r="AH39" i="2"/>
  <c r="AF39" i="2"/>
  <c r="AL39" i="2"/>
  <c r="AE39" i="2"/>
  <c r="AK39" i="2"/>
  <c r="AN38" i="2"/>
  <c r="AS38" i="2"/>
  <c r="Z38" i="2"/>
  <c r="AQ38" i="2" s="1"/>
  <c r="AB38" i="2"/>
  <c r="AH38" i="2"/>
  <c r="AL38" i="2"/>
  <c r="AF38" i="2"/>
  <c r="AK38" i="2"/>
  <c r="AE38" i="2"/>
  <c r="Z37" i="2"/>
  <c r="AB37" i="2"/>
  <c r="AH37" i="2"/>
  <c r="AN37" i="2"/>
  <c r="AQ37" i="2"/>
  <c r="AS37" i="2"/>
  <c r="AL37" i="2"/>
  <c r="AF37" i="2"/>
  <c r="AE37" i="2"/>
  <c r="AK37" i="2"/>
  <c r="Z36" i="2"/>
  <c r="AB36" i="2"/>
  <c r="AQ36" i="2"/>
  <c r="AS36" i="2"/>
  <c r="AN36" i="2"/>
  <c r="AH36" i="2"/>
  <c r="AL36" i="2"/>
  <c r="AF36" i="2"/>
  <c r="AE36" i="2"/>
  <c r="AK36" i="2"/>
  <c r="AS35" i="2"/>
  <c r="AH35" i="2"/>
  <c r="AB35" i="2"/>
  <c r="Z35" i="2"/>
  <c r="AQ35" i="2" s="1"/>
  <c r="AN35" i="2"/>
  <c r="AF35" i="2"/>
  <c r="AL35" i="2"/>
  <c r="AK35" i="2"/>
  <c r="AE35" i="2"/>
  <c r="AB34" i="2"/>
  <c r="AN34" i="2"/>
  <c r="AH34" i="2"/>
  <c r="Z34" i="2"/>
  <c r="AQ34" i="2" s="1"/>
  <c r="AS34" i="2"/>
  <c r="AL34" i="2"/>
  <c r="AF34" i="2"/>
  <c r="AE34" i="2"/>
  <c r="AK34" i="2"/>
  <c r="AH33" i="2"/>
  <c r="AB33" i="2"/>
  <c r="AN33" i="2"/>
  <c r="Z33" i="2"/>
  <c r="AQ33" i="2" s="1"/>
  <c r="AS33" i="2"/>
  <c r="AL33" i="2"/>
  <c r="AF33" i="2"/>
  <c r="AK33" i="2"/>
  <c r="AE33" i="2"/>
  <c r="AS32" i="2"/>
  <c r="Z32" i="2"/>
  <c r="AQ32" i="2" s="1"/>
  <c r="AB32" i="2"/>
  <c r="AN32" i="2"/>
  <c r="AH32" i="2"/>
  <c r="AL32" i="2"/>
  <c r="AF32" i="2"/>
  <c r="AE32" i="2"/>
  <c r="AK32" i="2"/>
  <c r="AH31" i="2"/>
  <c r="AB31" i="2"/>
  <c r="Z31" i="2"/>
  <c r="AE31" i="2"/>
  <c r="AK31" i="2"/>
  <c r="AN30" i="2"/>
  <c r="AB30" i="2"/>
  <c r="Z30" i="2"/>
  <c r="AQ30" i="2" s="1"/>
  <c r="AH30" i="2"/>
  <c r="AS30" i="2"/>
  <c r="AF30" i="2"/>
  <c r="AL30" i="2"/>
  <c r="AK30" i="2"/>
  <c r="AE30" i="2"/>
  <c r="AS29" i="2"/>
  <c r="AN29" i="2"/>
  <c r="Z29" i="2"/>
  <c r="AQ29" i="2" s="1"/>
  <c r="AB29" i="2"/>
  <c r="AH29" i="2"/>
  <c r="AL29" i="2"/>
  <c r="AF29" i="2"/>
  <c r="AE29" i="2"/>
  <c r="AK29" i="2"/>
  <c r="AB28" i="2"/>
  <c r="AH28" i="2"/>
  <c r="AS28" i="2"/>
  <c r="Z28" i="2"/>
  <c r="AQ28" i="2" s="1"/>
  <c r="AD20" i="2"/>
  <c r="AM20" i="2"/>
  <c r="AJ20" i="2"/>
  <c r="AJ19" i="2"/>
  <c r="AM19" i="2"/>
  <c r="AD19" i="2"/>
  <c r="AB18" i="2"/>
  <c r="AS18" i="2"/>
  <c r="AM18" i="2"/>
  <c r="AD18" i="2"/>
  <c r="AJ18" i="2"/>
  <c r="AD17" i="2"/>
  <c r="AJ17" i="2"/>
  <c r="AH17" i="2"/>
  <c r="AS17" i="2"/>
  <c r="AH18" i="2"/>
  <c r="Z19" i="2"/>
  <c r="AH19" i="2"/>
  <c r="AS19" i="2"/>
  <c r="AL19" i="2"/>
  <c r="AN19" i="2"/>
  <c r="AE18" i="2"/>
  <c r="AF18" i="2"/>
  <c r="AF20" i="2"/>
  <c r="AL17" i="2"/>
  <c r="AE20" i="2"/>
  <c r="AE19" i="2"/>
  <c r="AQ19" i="2"/>
  <c r="Z20" i="2"/>
  <c r="AK17" i="2"/>
  <c r="AB20" i="2"/>
  <c r="AM17" i="2"/>
  <c r="AN17" i="2"/>
  <c r="AN18" i="2"/>
  <c r="AH20" i="2"/>
  <c r="Z18" i="2"/>
  <c r="AS20" i="2"/>
  <c r="AN20" i="2"/>
  <c r="Z17" i="2"/>
  <c r="AN22" i="2"/>
  <c r="Z7" i="2"/>
  <c r="AS22" i="2"/>
  <c r="Z23" i="2"/>
  <c r="AO23" i="2" s="1"/>
  <c r="Z22" i="2"/>
  <c r="AC22" i="2" s="1"/>
  <c r="AL23" i="2"/>
  <c r="AN23" i="2"/>
  <c r="AE25" i="2"/>
  <c r="AD7" i="2"/>
  <c r="AK11" i="2"/>
  <c r="AK23" i="2"/>
  <c r="AL11" i="2"/>
  <c r="AF7" i="2"/>
  <c r="AN11" i="2"/>
  <c r="AK7" i="2"/>
  <c r="AB22" i="2"/>
  <c r="AM7" i="2"/>
  <c r="AE22" i="2"/>
  <c r="Z11" i="2"/>
  <c r="AI11" i="2" s="1"/>
  <c r="AB11" i="2"/>
  <c r="AB7" i="2"/>
  <c r="AH11" i="2"/>
  <c r="AE9" i="2"/>
  <c r="AM11" i="2"/>
  <c r="AM23" i="2"/>
  <c r="AD22" i="2"/>
  <c r="AN7" i="2"/>
  <c r="AF22" i="2"/>
  <c r="AH22" i="2"/>
  <c r="AJ22" i="2"/>
  <c r="E29" i="4"/>
  <c r="AF21" i="2"/>
  <c r="AE24" i="2"/>
  <c r="AE16" i="2"/>
  <c r="AK21" i="2"/>
  <c r="AJ16" i="2"/>
  <c r="AH21" i="2"/>
  <c r="AD24" i="2"/>
  <c r="AB26" i="2"/>
  <c r="AS10" i="2"/>
  <c r="AJ24" i="2"/>
  <c r="AS26" i="2"/>
  <c r="AD16" i="2"/>
  <c r="AJ21" i="2"/>
  <c r="AS21" i="2"/>
  <c r="AB23" i="2"/>
  <c r="AB10" i="2"/>
  <c r="AD23" i="2"/>
  <c r="C25" i="4"/>
  <c r="D12" i="4"/>
  <c r="E12" i="4"/>
  <c r="C29" i="4"/>
  <c r="D29" i="4" s="1"/>
  <c r="AM8" i="2"/>
  <c r="AD8" i="2"/>
  <c r="AE8" i="2"/>
  <c r="I14" i="3"/>
  <c r="K7" i="3"/>
  <c r="J7" i="3"/>
  <c r="I7" i="3"/>
  <c r="B47" i="1"/>
  <c r="AL8" i="2"/>
  <c r="AF8" i="2"/>
  <c r="K15" i="3"/>
  <c r="J15" i="3"/>
  <c r="I15" i="3"/>
  <c r="B48" i="1"/>
  <c r="AS8" i="2"/>
  <c r="AN8" i="2"/>
  <c r="AF9" i="2"/>
  <c r="AL24" i="2"/>
  <c r="AF24" i="2"/>
  <c r="AL16" i="2"/>
  <c r="AF16" i="2"/>
  <c r="AS24" i="2"/>
  <c r="AN24" i="2"/>
  <c r="AB24" i="2"/>
  <c r="Z8" i="2"/>
  <c r="AS16" i="2"/>
  <c r="AN16" i="2"/>
  <c r="AB8" i="2"/>
  <c r="Z24" i="2"/>
  <c r="AQ24" i="2" s="1"/>
  <c r="Z16" i="2"/>
  <c r="AQ16" i="2" s="1"/>
  <c r="AM26" i="2"/>
  <c r="AJ26" i="2"/>
  <c r="AD26" i="2"/>
  <c r="C12" i="4"/>
  <c r="AL25" i="2"/>
  <c r="AF25" i="2"/>
  <c r="AN9" i="2"/>
  <c r="AH9" i="2"/>
  <c r="AB9" i="2"/>
  <c r="Z9" i="2"/>
  <c r="AQ9" i="2" s="1"/>
  <c r="AM10" i="2"/>
  <c r="AJ10" i="2"/>
  <c r="AD10" i="2"/>
  <c r="AN25" i="2"/>
  <c r="AH25" i="2"/>
  <c r="AB25" i="2"/>
  <c r="Z25" i="2"/>
  <c r="AQ25" i="2" s="1"/>
  <c r="K10" i="3"/>
  <c r="J10" i="3"/>
  <c r="AK10" i="2"/>
  <c r="AE10" i="2"/>
  <c r="I10" i="3"/>
  <c r="AL10" i="2"/>
  <c r="AF10" i="2"/>
  <c r="AM9" i="2"/>
  <c r="AJ9" i="2"/>
  <c r="AD9" i="2"/>
  <c r="AN10" i="2"/>
  <c r="AM25" i="2"/>
  <c r="AJ25" i="2"/>
  <c r="AD25" i="2"/>
  <c r="AK26" i="2"/>
  <c r="AE26" i="2"/>
  <c r="E6" i="4"/>
  <c r="D6" i="4"/>
  <c r="C6" i="4"/>
  <c r="AH16" i="2"/>
  <c r="AN26" i="2"/>
  <c r="AM21" i="2"/>
  <c r="AH7" i="2"/>
  <c r="AN21" i="2"/>
  <c r="AH23" i="2"/>
  <c r="I6" i="3"/>
  <c r="B40" i="1"/>
  <c r="B42" i="1" s="1"/>
  <c r="Z10" i="2"/>
  <c r="Z26" i="2"/>
  <c r="J6" i="3"/>
  <c r="I11" i="3"/>
  <c r="AD11" i="2"/>
  <c r="K12" i="3"/>
  <c r="Z21" i="2"/>
  <c r="I8" i="3"/>
  <c r="J8" i="3"/>
  <c r="I13" i="3"/>
  <c r="I12" i="3"/>
  <c r="AF26" i="2"/>
  <c r="AN28" i="2" l="1"/>
  <c r="AE28" i="2"/>
  <c r="AK28" i="2"/>
  <c r="AF28" i="2"/>
  <c r="AL28" i="2"/>
  <c r="AC47" i="2"/>
  <c r="AO47" i="2"/>
  <c r="AT47" i="2"/>
  <c r="AI47" i="2"/>
  <c r="AC46" i="2"/>
  <c r="AO46" i="2"/>
  <c r="AI46" i="2"/>
  <c r="AT46" i="2"/>
  <c r="AT45" i="2"/>
  <c r="AI45" i="2"/>
  <c r="AC45" i="2"/>
  <c r="AO45" i="2"/>
  <c r="AT44" i="2"/>
  <c r="AC44" i="2"/>
  <c r="AI44" i="2"/>
  <c r="AO44" i="2"/>
  <c r="AT43" i="2"/>
  <c r="AI43" i="2"/>
  <c r="AC43" i="2"/>
  <c r="AO43" i="2"/>
  <c r="AI42" i="2"/>
  <c r="AT42" i="2"/>
  <c r="AO42" i="2"/>
  <c r="AC42" i="2"/>
  <c r="AC41" i="2"/>
  <c r="AO41" i="2"/>
  <c r="AI41" i="2"/>
  <c r="AT41" i="2"/>
  <c r="AC40" i="2"/>
  <c r="AO40" i="2"/>
  <c r="AT40" i="2"/>
  <c r="AI40" i="2"/>
  <c r="AC39" i="2"/>
  <c r="AI39" i="2"/>
  <c r="AO39" i="2"/>
  <c r="AT39" i="2"/>
  <c r="AQ39" i="2"/>
  <c r="AC38" i="2"/>
  <c r="AI38" i="2"/>
  <c r="AO38" i="2"/>
  <c r="AT38" i="2"/>
  <c r="AC37" i="2"/>
  <c r="AI37" i="2"/>
  <c r="AO37" i="2"/>
  <c r="AT37" i="2"/>
  <c r="AC36" i="2"/>
  <c r="AI36" i="2"/>
  <c r="AO36" i="2"/>
  <c r="AT36" i="2"/>
  <c r="AC35" i="2"/>
  <c r="AI35" i="2"/>
  <c r="AO35" i="2"/>
  <c r="AT35" i="2"/>
  <c r="AO34" i="2"/>
  <c r="AC34" i="2"/>
  <c r="AI34" i="2"/>
  <c r="AT34" i="2"/>
  <c r="AO33" i="2"/>
  <c r="AT33" i="2"/>
  <c r="AC33" i="2"/>
  <c r="AI33" i="2"/>
  <c r="AC32" i="2"/>
  <c r="AO32" i="2"/>
  <c r="AI32" i="2"/>
  <c r="AT32" i="2"/>
  <c r="AC31" i="2"/>
  <c r="AI31" i="2"/>
  <c r="AQ31" i="2"/>
  <c r="AO31" i="2"/>
  <c r="AT31" i="2"/>
  <c r="AC30" i="2"/>
  <c r="AI30" i="2"/>
  <c r="AO30" i="2"/>
  <c r="AT30" i="2"/>
  <c r="AC29" i="2"/>
  <c r="AI29" i="2"/>
  <c r="AO29" i="2"/>
  <c r="AT29" i="2"/>
  <c r="AC28" i="2"/>
  <c r="AI28" i="2"/>
  <c r="AO28" i="2"/>
  <c r="AT28" i="2"/>
  <c r="AC19" i="2"/>
  <c r="AT19" i="2"/>
  <c r="AO19" i="2"/>
  <c r="AI19" i="2"/>
  <c r="AC7" i="2"/>
  <c r="AI7" i="2"/>
  <c r="AT18" i="2"/>
  <c r="AQ18" i="2"/>
  <c r="AO18" i="2"/>
  <c r="AC18" i="2"/>
  <c r="AI18" i="2"/>
  <c r="AT17" i="2"/>
  <c r="AC17" i="2"/>
  <c r="AO17" i="2"/>
  <c r="AI17" i="2"/>
  <c r="AQ17" i="2"/>
  <c r="AT20" i="2"/>
  <c r="AO20" i="2"/>
  <c r="AI20" i="2"/>
  <c r="AC20" i="2"/>
  <c r="AQ20" i="2"/>
  <c r="AO7" i="2"/>
  <c r="AT22" i="2"/>
  <c r="AT7" i="2"/>
  <c r="AQ7" i="2"/>
  <c r="AI22" i="2"/>
  <c r="AQ22" i="2"/>
  <c r="AO22" i="2"/>
  <c r="AO11" i="2"/>
  <c r="AT23" i="2"/>
  <c r="AQ11" i="2"/>
  <c r="AT11" i="2"/>
  <c r="AC11" i="2"/>
  <c r="AC23" i="2"/>
  <c r="AI23" i="2"/>
  <c r="AQ23" i="2"/>
  <c r="E7" i="4"/>
  <c r="C7" i="4"/>
  <c r="E10" i="4"/>
  <c r="E18" i="4"/>
  <c r="C30" i="4"/>
  <c r="D30" i="4" s="1"/>
  <c r="E16" i="4"/>
  <c r="D10" i="4"/>
  <c r="D7" i="4"/>
  <c r="C17" i="4"/>
  <c r="D9" i="4"/>
  <c r="D18" i="4"/>
  <c r="AI10" i="2"/>
  <c r="AO10" i="2"/>
  <c r="AC10" i="2"/>
  <c r="AT10" i="2"/>
  <c r="AQ10" i="2"/>
  <c r="E30" i="4"/>
  <c r="C18" i="4"/>
  <c r="E13" i="4"/>
  <c r="D13" i="4"/>
  <c r="C13" i="4"/>
  <c r="C15" i="4"/>
  <c r="E11" i="4"/>
  <c r="D11" i="4"/>
  <c r="C11" i="4"/>
  <c r="AC21" i="2"/>
  <c r="AT21" i="2"/>
  <c r="AO21" i="2"/>
  <c r="AQ21" i="2"/>
  <c r="AI21" i="2"/>
  <c r="C10" i="4"/>
  <c r="AO9" i="2"/>
  <c r="AI9" i="2"/>
  <c r="AC9" i="2"/>
  <c r="AT9" i="2"/>
  <c r="E17" i="4"/>
  <c r="AO8" i="2"/>
  <c r="AC8" i="2"/>
  <c r="AI8" i="2"/>
  <c r="AT8" i="2"/>
  <c r="D17" i="4"/>
  <c r="C16" i="4"/>
  <c r="D16" i="4"/>
  <c r="AI24" i="2"/>
  <c r="AO24" i="2"/>
  <c r="AC24" i="2"/>
  <c r="AT24" i="2"/>
  <c r="E9" i="4"/>
  <c r="E15" i="4"/>
  <c r="C19" i="4"/>
  <c r="E19" i="4"/>
  <c r="D19" i="4"/>
  <c r="AO25" i="2"/>
  <c r="AI25" i="2"/>
  <c r="AC25" i="2"/>
  <c r="AT25" i="2"/>
  <c r="C9" i="4"/>
  <c r="AI16" i="2"/>
  <c r="AO16" i="2"/>
  <c r="AC16" i="2"/>
  <c r="AT16" i="2"/>
  <c r="D15" i="4"/>
  <c r="B46" i="1"/>
  <c r="AI26" i="2"/>
  <c r="AC26" i="2"/>
  <c r="AT26" i="2"/>
  <c r="AQ26" i="2"/>
  <c r="AO26" i="2"/>
  <c r="AQ8" i="2"/>
  <c r="C23" i="4" l="1"/>
  <c r="D8" i="4"/>
  <c r="C31" i="4"/>
  <c r="D31" i="4" s="1"/>
  <c r="E31" i="4"/>
  <c r="C14" i="4"/>
  <c r="D20" i="4"/>
  <c r="E14" i="4"/>
  <c r="E20" i="4"/>
  <c r="D14" i="4"/>
  <c r="C8" i="4"/>
  <c r="E8" i="4"/>
  <c r="C24" i="4"/>
  <c r="C20" i="4"/>
  <c r="C34" i="4" l="1"/>
  <c r="D34" i="4" s="1"/>
</calcChain>
</file>

<file path=xl/sharedStrings.xml><?xml version="1.0" encoding="utf-8"?>
<sst xmlns="http://schemas.openxmlformats.org/spreadsheetml/2006/main" count="398" uniqueCount="202">
  <si>
    <t>Joule Observer: calibration workbook</t>
  </si>
  <si>
    <t>Compare device display and website against the oscilloscope, then against theory. Team 34, ELECTENG 209.</t>
  </si>
  <si>
    <t>HOW TO USE</t>
  </si>
  <si>
    <t>1. Yellow cells with blue text are inputs. Grey cells are formulas, do not overwrite them.</t>
  </si>
  <si>
    <t>2. Set the load, then fill one row per test on 'Calibration Log'. Row 7 is an EXAMPLE: overwrite it.</t>
  </si>
  <si>
    <t>3. Scope: Vrms of the source, Vrms across the shunt (mV), and the V-to-I time delay (us, positive = current lags).</t>
  </si>
  <si>
    <t>4. Display and website columns: type what you read. Website shows V (2 dp), I (mA), P in W (2 dp). It has no energy field.</t>
  </si>
  <si>
    <t>5. 'Summary' gives average and worst-case error per comparison and recommended new scale constants for calcs.h.</t>
  </si>
  <si>
    <t>6. 'Energy' is a separate timed test (display energy is whole mWh, so run long enough).</t>
  </si>
  <si>
    <t>Measurement constants</t>
  </si>
  <si>
    <t>Item</t>
  </si>
  <si>
    <t>Value</t>
  </si>
  <si>
    <t>Unit</t>
  </si>
  <si>
    <t>Source / note</t>
  </si>
  <si>
    <t>Shunt resistance</t>
  </si>
  <si>
    <t>ohm</t>
  </si>
  <si>
    <t>analogue/MASTER_SCHEMATIC_EE209.asc, 0.5 ohm shunt (calcs.h). Measure the real one with a meter and overwrite.</t>
  </si>
  <si>
    <t>Nominal frequency</t>
  </si>
  <si>
    <t>Hz</t>
  </si>
  <si>
    <t>README spec: 14 Vrms, 500 Hz</t>
  </si>
  <si>
    <t>Accuracy spec</t>
  </si>
  <si>
    <t>% of full scale</t>
  </si>
  <si>
    <t>README spec table: +/-5% of full scale</t>
  </si>
  <si>
    <t>Full scale Vrms</t>
  </si>
  <si>
    <t>V</t>
  </si>
  <si>
    <t>ASSUMPTION: 14 V +10% (README source tolerance). Change if the team defines it differently.</t>
  </si>
  <si>
    <t>Full scale Irms</t>
  </si>
  <si>
    <t>mA</t>
  </si>
  <si>
    <t>ASSUMPTION: 7.5 VA / 12.6 V (largest load at lowest source voltage).</t>
  </si>
  <si>
    <t>Full scale power</t>
  </si>
  <si>
    <t>mW</t>
  </si>
  <si>
    <t>ASSUMPTION: 7.5 VA upper load limit, rounded.</t>
  </si>
  <si>
    <t>Display vs website tolerance, V</t>
  </si>
  <si>
    <t>Website shows 2 dp, so 0.01 V is rounding only.</t>
  </si>
  <si>
    <t>Display vs website tolerance, I</t>
  </si>
  <si>
    <t>Website shows whole mA.</t>
  </si>
  <si>
    <t>Display vs website tolerance, P</t>
  </si>
  <si>
    <t>Website shows W to 2 dp, so 10 mW is rounding only.</t>
  </si>
  <si>
    <t>Firmware constants (copy from calcs.h / what is flashed)</t>
  </si>
  <si>
    <t>Constant</t>
  </si>
  <si>
    <t>Meaning</t>
  </si>
  <si>
    <t>ADC_OFFSET_COUNTS</t>
  </si>
  <si>
    <t>counts</t>
  </si>
  <si>
    <t>Bias level subtracted from each sample (2.0625 V / 5 V x 1024)</t>
  </si>
  <si>
    <t>V_MV_PER_COUNT_X100</t>
  </si>
  <si>
    <t>x100 mV/count</t>
  </si>
  <si>
    <t>109.26 mV of source voltage per ADC count</t>
  </si>
  <si>
    <t>I_MA_PER_COUNT_X1000</t>
  </si>
  <si>
    <t>x1000 mA/count</t>
  </si>
  <si>
    <t>3.877 mA of load current per ADC count</t>
  </si>
  <si>
    <t>P_MW_PER_COUNT2_X10000</t>
  </si>
  <si>
    <t>x10000 mW/count^2</t>
  </si>
  <si>
    <t>0.4236 mW per count x count</t>
  </si>
  <si>
    <t>ADC and front-end check</t>
  </si>
  <si>
    <t>Measured AVCC (ADC reference)</t>
  </si>
  <si>
    <t>Measure on the board with a meter. 5.000 is the nominal placeholder.</t>
  </si>
  <si>
    <t>Measured bias node (VREF) at ADC pin, no signal</t>
  </si>
  <si>
    <t>Measure at PC0/PC1 with the source off. 2.0625 is the LTspice value, so overwrite it.</t>
  </si>
  <si>
    <t>Voltage channel gain</t>
  </si>
  <si>
    <t>V/V</t>
  </si>
  <si>
    <t>From calcs.h comment (divider x difference amp). Check against the LTspice model.</t>
  </si>
  <si>
    <t>Current channel gain</t>
  </si>
  <si>
    <t>mV per mA</t>
  </si>
  <si>
    <t>From calcs.h comment (0.5 ohm x 2.5185).</t>
  </si>
  <si>
    <t>ADC step (1 LSB)</t>
  </si>
  <si>
    <t>mV</t>
  </si>
  <si>
    <t>AVCC / 1024</t>
  </si>
  <si>
    <t>Bias level in counts (measured)</t>
  </si>
  <si>
    <t>Compare with ADC_OFFSET_COUNTS</t>
  </si>
  <si>
    <t>Recommended ADC_OFFSET_COUNTS</t>
  </si>
  <si>
    <t>Use this if it differs from the flashed value</t>
  </si>
  <si>
    <t>Theoretical voltage scale</t>
  </si>
  <si>
    <t>mV/count</t>
  </si>
  <si>
    <t>LSB / V gain</t>
  </si>
  <si>
    <t>Theoretical current scale</t>
  </si>
  <si>
    <t>mA/count</t>
  </si>
  <si>
    <t>LSB / I gain</t>
  </si>
  <si>
    <t>Theoretical power scale</t>
  </si>
  <si>
    <t>mW/count^2</t>
  </si>
  <si>
    <t>mV x mA / 1000</t>
  </si>
  <si>
    <t>Firmware voltage scale</t>
  </si>
  <si>
    <t>Firmware current scale</t>
  </si>
  <si>
    <t>Firmware power scale</t>
  </si>
  <si>
    <t>Firmware vs theory, voltage</t>
  </si>
  <si>
    <t>%</t>
  </si>
  <si>
    <t>Non-zero = AVCC or gain differs from the assumption</t>
  </si>
  <si>
    <t>Firmware vs theory, current</t>
  </si>
  <si>
    <t>Firmware vs theory, power</t>
  </si>
  <si>
    <t>Calibration log: display / website vs oscilloscope vs theory</t>
  </si>
  <si>
    <t>One row per test. Errors are (measured - reference) / reference. Pass/fail is on % of full scale (Setup B16). Row 7 is an example.</t>
  </si>
  <si>
    <t>THEORY INPUTS</t>
  </si>
  <si>
    <t>OSCILLOSCOPE</t>
  </si>
  <si>
    <t>DEVICE DISPLAY</t>
  </si>
  <si>
    <t>WEBSITE</t>
  </si>
  <si>
    <t>THEORY (calculated)</t>
  </si>
  <si>
    <t>SCOPE (calculated)</t>
  </si>
  <si>
    <t>ERROR vs SCOPE and THEORY (%)</t>
  </si>
  <si>
    <t>CHECKS</t>
  </si>
  <si>
    <t>CORRECTION RATIOS</t>
  </si>
  <si>
    <t>Test #</t>
  </si>
  <si>
    <t>Load setting / notes</t>
  </si>
  <si>
    <t>Source Vrms (V)</t>
  </si>
  <si>
    <t>Load S (VA)</t>
  </si>
  <si>
    <t>Nominal PF</t>
  </si>
  <si>
    <t>Scope Vrms (V)</t>
  </si>
  <si>
    <t>Scope shunt Vrms (mV)</t>
  </si>
  <si>
    <t>Scope V-I delay (us)</t>
  </si>
  <si>
    <t>Scope freq (Hz)</t>
  </si>
  <si>
    <t>Display Vrms (V)</t>
  </si>
  <si>
    <t>Display Irms (mA)</t>
  </si>
  <si>
    <t>Display P (mW)</t>
  </si>
  <si>
    <t>Website Vrms (V)</t>
  </si>
  <si>
    <t>Website Irms (mA)</t>
  </si>
  <si>
    <t>Website P (W)</t>
  </si>
  <si>
    <t>Theory Vrms (V)</t>
  </si>
  <si>
    <t>Theory Irms (mA)</t>
  </si>
  <si>
    <t>Theory P (mW)</t>
  </si>
  <si>
    <t>Scope Irms (mA)</t>
  </si>
  <si>
    <t>Scope phase (deg)</t>
  </si>
  <si>
    <t>Scope PF</t>
  </si>
  <si>
    <t>Scope P (mW)</t>
  </si>
  <si>
    <t>Disp vs Scope: V</t>
  </si>
  <si>
    <t>Disp vs Scope: I</t>
  </si>
  <si>
    <t>Disp vs Scope: P</t>
  </si>
  <si>
    <t>Disp vs Theory: V</t>
  </si>
  <si>
    <t>Disp vs Theory: I</t>
  </si>
  <si>
    <t>Disp vs Theory: P</t>
  </si>
  <si>
    <t>Web vs Scope: V</t>
  </si>
  <si>
    <t>Web vs Scope: I</t>
  </si>
  <si>
    <t>Web vs Scope: P</t>
  </si>
  <si>
    <t>Web vs Theory: V</t>
  </si>
  <si>
    <t>Web vs Theory: I</t>
  </si>
  <si>
    <t>Web vs Theory: P</t>
  </si>
  <si>
    <t>Scope vs Theory: V</t>
  </si>
  <si>
    <t>Scope vs Theory: I</t>
  </si>
  <si>
    <t>Scope vs Theory: P</t>
  </si>
  <si>
    <t>Display = Website?</t>
  </si>
  <si>
    <t>Display vs Scope (% FS spec)</t>
  </si>
  <si>
    <t>Ratio Scope/Disp: V</t>
  </si>
  <si>
    <t>Ratio Scope/Disp: I</t>
  </si>
  <si>
    <t>Ratio Scope/Disp: P</t>
  </si>
  <si>
    <t>EXAMPLE: 5 VA, PF 0.8. Overwrite</t>
  </si>
  <si>
    <t>Energy test: display energy change over a timed run</t>
  </si>
  <si>
    <t>Hold a steady load, note display energy, wait, note again. Display energy is whole mWh, so allow +/-1 mWh of quantisation. The website has no energy field. Row 6 is an example.</t>
  </si>
  <si>
    <t>Power (mW) (scope or Log)</t>
  </si>
  <si>
    <t>Interval (s)</t>
  </si>
  <si>
    <t>Display energy start (mWh)</t>
  </si>
  <si>
    <t>Display energy end (mWh)</t>
  </si>
  <si>
    <t>Theory dE (mWh)</t>
  </si>
  <si>
    <t>Display dE (mWh)</t>
  </si>
  <si>
    <t>Error (%)</t>
  </si>
  <si>
    <t>Quantisation +/-1 mWh (% of theory)</t>
  </si>
  <si>
    <t>Result</t>
  </si>
  <si>
    <t>EXAMPLE: 4 W for 10 min. Overwrite</t>
  </si>
  <si>
    <t>Result rule (assumption): pass if |display dE - theory dE| &lt;= 1 mWh + spec % x theory dE. Spec % is Setup B16.</t>
  </si>
  <si>
    <t>Summary</t>
  </si>
  <si>
    <t>Average and worst-case error across the filled-in rows of 'Calibration Log'. Blank until you enter data.</t>
  </si>
  <si>
    <t>Error by comparison</t>
  </si>
  <si>
    <t>Comparison</t>
  </si>
  <si>
    <t>Quantity</t>
  </si>
  <si>
    <t>Average error</t>
  </si>
  <si>
    <t>Worst |error|</t>
  </si>
  <si>
    <t>Rows used</t>
  </si>
  <si>
    <t>Display vs Scope</t>
  </si>
  <si>
    <t>Vrms</t>
  </si>
  <si>
    <t>Irms</t>
  </si>
  <si>
    <t>Power</t>
  </si>
  <si>
    <t>Display vs Theory</t>
  </si>
  <si>
    <t>Website vs Scope</t>
  </si>
  <si>
    <t>Website vs Theory</t>
  </si>
  <si>
    <t>Scope vs Theory</t>
  </si>
  <si>
    <t>Display vs Scope, pass/fail (% of full scale)</t>
  </si>
  <si>
    <t>PASS rows</t>
  </si>
  <si>
    <t>FAIL rows</t>
  </si>
  <si>
    <t>Display / website mismatches (CHECK)</t>
  </si>
  <si>
    <t>Recommended scale constants for calcs.h (average of Scope / Display)</t>
  </si>
  <si>
    <t>Flashed value</t>
  </si>
  <si>
    <t>Avg correction ratio</t>
  </si>
  <si>
    <t>Recommended value</t>
  </si>
  <si>
    <t>Offset: recommended ADC_OFFSET_COUNTS (from measured bias, Setup)</t>
  </si>
  <si>
    <t>Check: V ratio x I ratio vs P ratio</t>
  </si>
  <si>
    <t>Ratio = scope reading / display reading. Fix V and I first, then re-check P. Apply new constants, reflash, then repeat the tests.</t>
  </si>
  <si>
    <t>measurement across load</t>
  </si>
  <si>
    <t>DC Input</t>
  </si>
  <si>
    <t>20V</t>
  </si>
  <si>
    <t>21V</t>
  </si>
  <si>
    <t>22V</t>
  </si>
  <si>
    <t>23V</t>
  </si>
  <si>
    <t>26V</t>
  </si>
  <si>
    <t>29V</t>
  </si>
  <si>
    <t>32V</t>
  </si>
  <si>
    <t>V-I SCOPE-PHASE</t>
  </si>
  <si>
    <t>Load 1</t>
  </si>
  <si>
    <t>Load 2</t>
  </si>
  <si>
    <t>Load 3</t>
  </si>
  <si>
    <t>Load 4</t>
  </si>
  <si>
    <t>Load 5</t>
  </si>
  <si>
    <t>Load 6</t>
  </si>
  <si>
    <t>Load 7</t>
  </si>
  <si>
    <t>RL</t>
  </si>
  <si>
    <t>Resistor value</t>
  </si>
  <si>
    <t>Ipeak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</si>
</sst>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%"/>
    <numFmt numFmtId="167" formatCode="0.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 vertical="center" wrapText="1"/>
    </xf>
    <xf numFmtId="0" fontId="5" fillId="3" borderId="0" xfId="0" applyFont="1" applyFill="1"/>
    <xf numFmtId="164" fontId="2" fillId="4" borderId="0" xfId="0" applyNumberFormat="1" applyFont="1" applyFill="1"/>
    <xf numFmtId="165" fontId="2" fillId="4" borderId="0" xfId="0" applyNumberFormat="1" applyFont="1" applyFill="1"/>
    <xf numFmtId="1" fontId="2" fillId="4" borderId="0" xfId="0" applyNumberFormat="1" applyFont="1" applyFill="1"/>
    <xf numFmtId="166" fontId="2" fillId="4" borderId="0" xfId="0" applyNumberFormat="1" applyFont="1" applyFill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3" borderId="1" xfId="0" applyFont="1" applyFill="1" applyBorder="1"/>
    <xf numFmtId="167" fontId="5" fillId="3" borderId="1" xfId="0" applyNumberFormat="1" applyFont="1" applyFill="1" applyBorder="1"/>
    <xf numFmtId="2" fontId="5" fillId="3" borderId="1" xfId="0" applyNumberFormat="1" applyFont="1" applyFill="1" applyBorder="1"/>
    <xf numFmtId="165" fontId="5" fillId="3" borderId="1" xfId="0" applyNumberFormat="1" applyFont="1" applyFill="1" applyBorder="1"/>
    <xf numFmtId="167" fontId="2" fillId="4" borderId="1" xfId="0" applyNumberFormat="1" applyFont="1" applyFill="1" applyBorder="1"/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0" fontId="2" fillId="4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166" fontId="2" fillId="0" borderId="1" xfId="0" applyNumberFormat="1" applyFont="1" applyBorder="1"/>
    <xf numFmtId="164" fontId="2" fillId="0" borderId="1" xfId="0" applyNumberFormat="1" applyFont="1" applyBorder="1"/>
    <xf numFmtId="1" fontId="2" fillId="0" borderId="0" xfId="0" applyNumberFormat="1" applyFont="1"/>
    <xf numFmtId="167" fontId="2" fillId="0" borderId="0" xfId="0" applyNumberFormat="1" applyFont="1"/>
    <xf numFmtId="0" fontId="3" fillId="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F2F2F2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Display vs Scope error per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'Calibration Log'!$AA$6</c:f>
              <c:strCache>
                <c:ptCount val="1"/>
                <c:pt idx="0">
                  <c:v>Disp vs Scope: 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'Calibration Log'!$A$7:$A$26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'Calibration Log'!$AA$7:$AA$26</c:f>
              <c:numCache>
                <c:formatCode>0.0%</c:formatCode>
                <c:ptCount val="20"/>
                <c:pt idx="0">
                  <c:v>2.8530670470756723E-3</c:v>
                </c:pt>
                <c:pt idx="1">
                  <c:v>1.7872886110443131E-2</c:v>
                </c:pt>
                <c:pt idx="2">
                  <c:v>9.5433393800773269E-3</c:v>
                </c:pt>
                <c:pt idx="3">
                  <c:v>3.9691804809712941E-3</c:v>
                </c:pt>
                <c:pt idx="4">
                  <c:v>1.1583011583011612E-2</c:v>
                </c:pt>
                <c:pt idx="9">
                  <c:v>0</c:v>
                </c:pt>
                <c:pt idx="10">
                  <c:v>7.692307692307665E-3</c:v>
                </c:pt>
                <c:pt idx="11">
                  <c:v>1.1406844106463905E-2</c:v>
                </c:pt>
                <c:pt idx="12">
                  <c:v>9.796533534287926E-3</c:v>
                </c:pt>
                <c:pt idx="13">
                  <c:v>1.1235955056179803E-2</c:v>
                </c:pt>
                <c:pt idx="14">
                  <c:v>1.2472487160674976E-2</c:v>
                </c:pt>
                <c:pt idx="15">
                  <c:v>1.375814627081821E-2</c:v>
                </c:pt>
                <c:pt idx="16">
                  <c:v>1.2203876525484561E-2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4-40FE-931A-1FBC143FC4F4}"/>
            </c:ext>
          </c:extLst>
        </c:ser>
        <c:ser>
          <c:idx val="1"/>
          <c:order val="1"/>
          <c:tx>
            <c:strRef>
              <c:f>'Calibration Log'!$AB$6</c:f>
              <c:strCache>
                <c:ptCount val="1"/>
                <c:pt idx="0">
                  <c:v>Disp vs Scope: 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'Calibration Log'!$A$7:$A$26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'Calibration Log'!$AB$7:$AB$26</c:f>
              <c:numCache>
                <c:formatCode>0.0%</c:formatCode>
                <c:ptCount val="20"/>
                <c:pt idx="0">
                  <c:v>-1.7357222844344874E-2</c:v>
                </c:pt>
                <c:pt idx="1">
                  <c:v>1.6353229762878401E-3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4-40FE-931A-1FBC143FC4F4}"/>
            </c:ext>
          </c:extLst>
        </c:ser>
        <c:ser>
          <c:idx val="2"/>
          <c:order val="2"/>
          <c:tx>
            <c:strRef>
              <c:f>'Calibration Log'!$AC$6</c:f>
              <c:strCache>
                <c:ptCount val="1"/>
                <c:pt idx="0">
                  <c:v>Disp vs Scope: 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'Calibration Log'!$A$7:$A$26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'Calibration Log'!$AC$7:$AC$26</c:f>
              <c:numCache>
                <c:formatCode>0.0%</c:formatCode>
                <c:ptCount val="20"/>
                <c:pt idx="0">
                  <c:v>0</c:v>
                </c:pt>
                <c:pt idx="1">
                  <c:v>-0.99891376566080547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0FE-931A-1FBC143F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95858"/>
        <c:axId val="25672692"/>
      </c:barChart>
      <c:catAx>
        <c:axId val="55695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72692"/>
        <c:crosses val="autoZero"/>
        <c:auto val="1"/>
        <c:lblAlgn val="ctr"/>
        <c:lblOffset val="100"/>
        <c:noMultiLvlLbl val="0"/>
      </c:catAx>
      <c:valAx>
        <c:axId val="25672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Error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95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opLeftCell="A18" zoomScaleNormal="100" workbookViewId="0"/>
  </sheetViews>
  <sheetFormatPr defaultColWidth="8.6640625" defaultRowHeight="14.4" x14ac:dyDescent="0.3"/>
  <cols>
    <col min="1" max="1" width="46" customWidth="1"/>
    <col min="2" max="2" width="14" customWidth="1"/>
    <col min="3" max="3" width="18" customWidth="1"/>
    <col min="4" max="4" width="9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</row>
    <row r="5" spans="1:4" x14ac:dyDescent="0.3">
      <c r="A5" s="2" t="s">
        <v>3</v>
      </c>
    </row>
    <row r="6" spans="1:4" x14ac:dyDescent="0.3">
      <c r="A6" s="2" t="s">
        <v>4</v>
      </c>
    </row>
    <row r="7" spans="1:4" x14ac:dyDescent="0.3">
      <c r="A7" s="2" t="s">
        <v>5</v>
      </c>
    </row>
    <row r="8" spans="1:4" x14ac:dyDescent="0.3">
      <c r="A8" s="2" t="s">
        <v>6</v>
      </c>
    </row>
    <row r="9" spans="1:4" x14ac:dyDescent="0.3">
      <c r="A9" s="2" t="s">
        <v>7</v>
      </c>
    </row>
    <row r="10" spans="1:4" x14ac:dyDescent="0.3">
      <c r="A10" s="2" t="s">
        <v>8</v>
      </c>
    </row>
    <row r="12" spans="1:4" x14ac:dyDescent="0.3">
      <c r="A12" s="4" t="s">
        <v>9</v>
      </c>
      <c r="B12" s="4"/>
      <c r="C12" s="4"/>
      <c r="D12" s="4"/>
    </row>
    <row r="13" spans="1:4" x14ac:dyDescent="0.3">
      <c r="A13" s="5" t="s">
        <v>10</v>
      </c>
      <c r="B13" s="5" t="s">
        <v>11</v>
      </c>
      <c r="C13" s="5" t="s">
        <v>12</v>
      </c>
      <c r="D13" s="5" t="s">
        <v>13</v>
      </c>
    </row>
    <row r="14" spans="1:4" x14ac:dyDescent="0.3">
      <c r="A14" s="2" t="s">
        <v>14</v>
      </c>
      <c r="B14" s="6">
        <v>0.5</v>
      </c>
      <c r="C14" s="2" t="s">
        <v>15</v>
      </c>
      <c r="D14" s="2" t="s">
        <v>16</v>
      </c>
    </row>
    <row r="15" spans="1:4" x14ac:dyDescent="0.3">
      <c r="A15" s="2" t="s">
        <v>17</v>
      </c>
      <c r="B15" s="6">
        <v>500</v>
      </c>
      <c r="C15" s="2" t="s">
        <v>18</v>
      </c>
      <c r="D15" s="2" t="s">
        <v>19</v>
      </c>
    </row>
    <row r="16" spans="1:4" x14ac:dyDescent="0.3">
      <c r="A16" s="2" t="s">
        <v>20</v>
      </c>
      <c r="B16" s="6">
        <v>5</v>
      </c>
      <c r="C16" s="2" t="s">
        <v>21</v>
      </c>
      <c r="D16" s="2" t="s">
        <v>22</v>
      </c>
    </row>
    <row r="17" spans="1:4" x14ac:dyDescent="0.3">
      <c r="A17" s="2" t="s">
        <v>23</v>
      </c>
      <c r="B17" s="6">
        <v>15.4</v>
      </c>
      <c r="C17" s="2" t="s">
        <v>24</v>
      </c>
      <c r="D17" s="2" t="s">
        <v>25</v>
      </c>
    </row>
    <row r="18" spans="1:4" x14ac:dyDescent="0.3">
      <c r="A18" s="2" t="s">
        <v>26</v>
      </c>
      <c r="B18" s="6">
        <v>595</v>
      </c>
      <c r="C18" s="2" t="s">
        <v>27</v>
      </c>
      <c r="D18" s="2" t="s">
        <v>28</v>
      </c>
    </row>
    <row r="19" spans="1:4" x14ac:dyDescent="0.3">
      <c r="A19" s="2" t="s">
        <v>29</v>
      </c>
      <c r="B19" s="6">
        <v>7500</v>
      </c>
      <c r="C19" s="2" t="s">
        <v>30</v>
      </c>
      <c r="D19" s="2" t="s">
        <v>31</v>
      </c>
    </row>
    <row r="20" spans="1:4" x14ac:dyDescent="0.3">
      <c r="A20" s="2" t="s">
        <v>32</v>
      </c>
      <c r="B20" s="6">
        <v>0.01</v>
      </c>
      <c r="C20" s="2" t="s">
        <v>24</v>
      </c>
      <c r="D20" s="2" t="s">
        <v>33</v>
      </c>
    </row>
    <row r="21" spans="1:4" x14ac:dyDescent="0.3">
      <c r="A21" s="2" t="s">
        <v>34</v>
      </c>
      <c r="B21" s="6">
        <v>1</v>
      </c>
      <c r="C21" s="2" t="s">
        <v>27</v>
      </c>
      <c r="D21" s="2" t="s">
        <v>35</v>
      </c>
    </row>
    <row r="22" spans="1:4" x14ac:dyDescent="0.3">
      <c r="A22" s="2" t="s">
        <v>36</v>
      </c>
      <c r="B22" s="6">
        <v>10</v>
      </c>
      <c r="C22" s="2" t="s">
        <v>30</v>
      </c>
      <c r="D22" s="2" t="s">
        <v>37</v>
      </c>
    </row>
    <row r="23" spans="1:4" x14ac:dyDescent="0.3">
      <c r="A23" s="2"/>
      <c r="B23" s="2"/>
      <c r="C23" s="2"/>
      <c r="D23" s="2"/>
    </row>
    <row r="24" spans="1:4" x14ac:dyDescent="0.3">
      <c r="A24" s="4" t="s">
        <v>38</v>
      </c>
      <c r="B24" s="4"/>
      <c r="C24" s="4"/>
      <c r="D24" s="4"/>
    </row>
    <row r="25" spans="1:4" x14ac:dyDescent="0.3">
      <c r="A25" s="5" t="s">
        <v>39</v>
      </c>
      <c r="B25" s="5" t="s">
        <v>11</v>
      </c>
      <c r="C25" s="5" t="s">
        <v>12</v>
      </c>
      <c r="D25" s="5" t="s">
        <v>40</v>
      </c>
    </row>
    <row r="26" spans="1:4" x14ac:dyDescent="0.3">
      <c r="A26" s="2" t="s">
        <v>41</v>
      </c>
      <c r="B26" s="6">
        <v>422</v>
      </c>
      <c r="C26" s="2" t="s">
        <v>42</v>
      </c>
      <c r="D26" s="2" t="s">
        <v>43</v>
      </c>
    </row>
    <row r="27" spans="1:4" x14ac:dyDescent="0.3">
      <c r="A27" s="2" t="s">
        <v>44</v>
      </c>
      <c r="B27" s="6">
        <v>10926</v>
      </c>
      <c r="C27" s="2" t="s">
        <v>45</v>
      </c>
      <c r="D27" s="2" t="s">
        <v>46</v>
      </c>
    </row>
    <row r="28" spans="1:4" x14ac:dyDescent="0.3">
      <c r="A28" s="2" t="s">
        <v>47</v>
      </c>
      <c r="B28" s="6">
        <v>3877</v>
      </c>
      <c r="C28" s="2" t="s">
        <v>48</v>
      </c>
      <c r="D28" s="2" t="s">
        <v>49</v>
      </c>
    </row>
    <row r="29" spans="1:4" x14ac:dyDescent="0.3">
      <c r="A29" s="2" t="s">
        <v>50</v>
      </c>
      <c r="B29" s="6">
        <v>4236</v>
      </c>
      <c r="C29" s="2" t="s">
        <v>51</v>
      </c>
      <c r="D29" s="2" t="s">
        <v>52</v>
      </c>
    </row>
    <row r="30" spans="1:4" x14ac:dyDescent="0.3">
      <c r="A30" s="2"/>
      <c r="B30" s="2"/>
      <c r="C30" s="2"/>
      <c r="D30" s="2"/>
    </row>
    <row r="31" spans="1:4" x14ac:dyDescent="0.3">
      <c r="A31" s="4" t="s">
        <v>53</v>
      </c>
      <c r="B31" s="4"/>
      <c r="C31" s="4"/>
      <c r="D31" s="4"/>
    </row>
    <row r="32" spans="1:4" x14ac:dyDescent="0.3">
      <c r="A32" s="5" t="s">
        <v>10</v>
      </c>
      <c r="B32" s="5" t="s">
        <v>11</v>
      </c>
      <c r="C32" s="5" t="s">
        <v>12</v>
      </c>
      <c r="D32" s="5" t="s">
        <v>13</v>
      </c>
    </row>
    <row r="33" spans="1:4" x14ac:dyDescent="0.3">
      <c r="A33" s="2" t="s">
        <v>54</v>
      </c>
      <c r="B33" s="6">
        <v>5</v>
      </c>
      <c r="C33" s="2" t="s">
        <v>24</v>
      </c>
      <c r="D33" s="2" t="s">
        <v>55</v>
      </c>
    </row>
    <row r="34" spans="1:4" x14ac:dyDescent="0.3">
      <c r="A34" s="2" t="s">
        <v>56</v>
      </c>
      <c r="B34" s="6">
        <v>2.0625</v>
      </c>
      <c r="C34" s="2" t="s">
        <v>24</v>
      </c>
      <c r="D34" s="2" t="s">
        <v>57</v>
      </c>
    </row>
    <row r="35" spans="1:4" x14ac:dyDescent="0.3">
      <c r="A35" s="2" t="s">
        <v>58</v>
      </c>
      <c r="B35" s="6">
        <v>4.4690000000000001E-2</v>
      </c>
      <c r="C35" s="2" t="s">
        <v>59</v>
      </c>
      <c r="D35" s="2" t="s">
        <v>60</v>
      </c>
    </row>
    <row r="36" spans="1:4" x14ac:dyDescent="0.3">
      <c r="A36" s="2" t="s">
        <v>61</v>
      </c>
      <c r="B36" s="6">
        <v>1.2593000000000001</v>
      </c>
      <c r="C36" s="2" t="s">
        <v>62</v>
      </c>
      <c r="D36" s="2" t="s">
        <v>63</v>
      </c>
    </row>
    <row r="37" spans="1:4" x14ac:dyDescent="0.3">
      <c r="A37" s="2" t="s">
        <v>64</v>
      </c>
      <c r="B37" s="7">
        <f>B33/1024*1000</f>
        <v>4.8828125</v>
      </c>
      <c r="C37" s="2" t="s">
        <v>65</v>
      </c>
      <c r="D37" s="2" t="s">
        <v>66</v>
      </c>
    </row>
    <row r="38" spans="1:4" x14ac:dyDescent="0.3">
      <c r="A38" s="2" t="s">
        <v>67</v>
      </c>
      <c r="B38" s="8">
        <f>B34/B33*1024</f>
        <v>422.4</v>
      </c>
      <c r="C38" s="2" t="s">
        <v>42</v>
      </c>
      <c r="D38" s="2" t="s">
        <v>68</v>
      </c>
    </row>
    <row r="39" spans="1:4" x14ac:dyDescent="0.3">
      <c r="A39" s="2" t="s">
        <v>69</v>
      </c>
      <c r="B39" s="9">
        <f>ROUND(B38,0)</f>
        <v>422</v>
      </c>
      <c r="C39" s="2" t="s">
        <v>42</v>
      </c>
      <c r="D39" s="2" t="s">
        <v>70</v>
      </c>
    </row>
    <row r="40" spans="1:4" x14ac:dyDescent="0.3">
      <c r="A40" s="2" t="s">
        <v>71</v>
      </c>
      <c r="B40" s="7">
        <f>B37/B35</f>
        <v>109.25962183933765</v>
      </c>
      <c r="C40" s="2" t="s">
        <v>72</v>
      </c>
      <c r="D40" s="2" t="s">
        <v>73</v>
      </c>
    </row>
    <row r="41" spans="1:4" x14ac:dyDescent="0.3">
      <c r="A41" s="2" t="s">
        <v>74</v>
      </c>
      <c r="B41" s="7">
        <f>B37/B36</f>
        <v>3.8774021281664415</v>
      </c>
      <c r="C41" s="2" t="s">
        <v>75</v>
      </c>
      <c r="D41" s="2" t="s">
        <v>76</v>
      </c>
    </row>
    <row r="42" spans="1:4" x14ac:dyDescent="0.3">
      <c r="A42" s="2" t="s">
        <v>77</v>
      </c>
      <c r="B42" s="7">
        <f>B40*B41/1000</f>
        <v>0.42364349024250847</v>
      </c>
      <c r="C42" s="2" t="s">
        <v>78</v>
      </c>
      <c r="D42" s="2" t="s">
        <v>79</v>
      </c>
    </row>
    <row r="43" spans="1:4" x14ac:dyDescent="0.3">
      <c r="A43" s="2" t="s">
        <v>80</v>
      </c>
      <c r="B43" s="7">
        <f>B27/100</f>
        <v>109.26</v>
      </c>
      <c r="C43" s="2" t="s">
        <v>72</v>
      </c>
      <c r="D43" s="2"/>
    </row>
    <row r="44" spans="1:4" x14ac:dyDescent="0.3">
      <c r="A44" s="2" t="s">
        <v>81</v>
      </c>
      <c r="B44" s="7">
        <f>B28/1000</f>
        <v>3.8769999999999998</v>
      </c>
      <c r="C44" s="2" t="s">
        <v>75</v>
      </c>
      <c r="D44" s="2"/>
    </row>
    <row r="45" spans="1:4" x14ac:dyDescent="0.3">
      <c r="A45" s="2" t="s">
        <v>82</v>
      </c>
      <c r="B45" s="7">
        <f>B29/10000</f>
        <v>0.42359999999999998</v>
      </c>
      <c r="C45" s="2" t="s">
        <v>78</v>
      </c>
      <c r="D45" s="2"/>
    </row>
    <row r="46" spans="1:4" x14ac:dyDescent="0.3">
      <c r="A46" s="2" t="s">
        <v>83</v>
      </c>
      <c r="B46" s="10">
        <f>(B43-B40)/B40</f>
        <v>3.4611200000911195E-6</v>
      </c>
      <c r="C46" s="2" t="s">
        <v>84</v>
      </c>
      <c r="D46" s="2" t="s">
        <v>85</v>
      </c>
    </row>
    <row r="47" spans="1:4" x14ac:dyDescent="0.3">
      <c r="A47" s="2" t="s">
        <v>86</v>
      </c>
      <c r="B47" s="10">
        <f>(B44-B41)/B41</f>
        <v>-1.0371072000000553E-4</v>
      </c>
      <c r="C47" s="2" t="s">
        <v>84</v>
      </c>
      <c r="D47" s="2"/>
    </row>
    <row r="48" spans="1:4" x14ac:dyDescent="0.3">
      <c r="A48" s="2" t="s">
        <v>87</v>
      </c>
      <c r="B48" s="10">
        <f>(B45-B42)/B42</f>
        <v>-1.0265764377400748E-4</v>
      </c>
      <c r="C48" s="2" t="s">
        <v>84</v>
      </c>
      <c r="D4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7"/>
  <sheetViews>
    <sheetView tabSelected="1" zoomScale="85" zoomScaleNormal="85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O27" sqref="O27"/>
    </sheetView>
  </sheetViews>
  <sheetFormatPr defaultColWidth="8.6640625" defaultRowHeight="14.4" x14ac:dyDescent="0.3"/>
  <cols>
    <col min="1" max="1" width="7" customWidth="1"/>
    <col min="2" max="3" width="26" customWidth="1"/>
    <col min="4" max="6" width="11" customWidth="1"/>
    <col min="7" max="8" width="10" customWidth="1"/>
    <col min="9" max="9" width="11" customWidth="1"/>
    <col min="10" max="12" width="12" customWidth="1"/>
    <col min="13" max="13" width="10" customWidth="1"/>
    <col min="14" max="23" width="11" customWidth="1"/>
    <col min="24" max="24" width="10" customWidth="1"/>
    <col min="25" max="25" width="9" customWidth="1"/>
    <col min="26" max="26" width="11" customWidth="1"/>
    <col min="27" max="41" width="10" customWidth="1"/>
    <col min="42" max="42" width="11" customWidth="1"/>
    <col min="43" max="43" width="13" customWidth="1"/>
    <col min="44" max="46" width="11" customWidth="1"/>
  </cols>
  <sheetData>
    <row r="1" spans="1:46" ht="17.399999999999999" x14ac:dyDescent="0.3">
      <c r="A1" s="1" t="s">
        <v>88</v>
      </c>
    </row>
    <row r="2" spans="1:46" x14ac:dyDescent="0.3">
      <c r="A2" s="2" t="s">
        <v>89</v>
      </c>
    </row>
    <row r="4" spans="1:46" ht="15" customHeight="1" x14ac:dyDescent="0.3">
      <c r="A4" s="34" t="s">
        <v>90</v>
      </c>
      <c r="B4" s="34"/>
      <c r="C4" s="34"/>
      <c r="D4" s="34"/>
      <c r="E4" s="34"/>
      <c r="F4" s="34"/>
      <c r="G4" s="34"/>
      <c r="H4" s="34"/>
      <c r="I4" s="35" t="s">
        <v>91</v>
      </c>
      <c r="J4" s="35"/>
      <c r="K4" s="35"/>
      <c r="L4" s="35"/>
      <c r="M4" s="35"/>
      <c r="N4" s="36" t="s">
        <v>92</v>
      </c>
      <c r="O4" s="36"/>
      <c r="P4" s="36"/>
      <c r="Q4" s="37" t="s">
        <v>93</v>
      </c>
      <c r="R4" s="37"/>
      <c r="S4" s="37"/>
      <c r="T4" s="33" t="s">
        <v>94</v>
      </c>
      <c r="U4" s="33"/>
      <c r="V4" s="33"/>
      <c r="W4" s="33" t="s">
        <v>95</v>
      </c>
      <c r="X4" s="33"/>
      <c r="Y4" s="33"/>
      <c r="Z4" s="33"/>
      <c r="AA4" s="33" t="s">
        <v>96</v>
      </c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 t="s">
        <v>97</v>
      </c>
      <c r="AQ4" s="33"/>
      <c r="AR4" s="33" t="s">
        <v>98</v>
      </c>
      <c r="AS4" s="33"/>
      <c r="AT4" s="33"/>
    </row>
    <row r="6" spans="1:46" ht="43.5" customHeight="1" x14ac:dyDescent="0.3">
      <c r="A6" s="11" t="s">
        <v>99</v>
      </c>
      <c r="B6" s="11" t="s">
        <v>100</v>
      </c>
      <c r="C6" s="11" t="s">
        <v>183</v>
      </c>
      <c r="D6" s="11" t="s">
        <v>101</v>
      </c>
      <c r="E6" s="11" t="s">
        <v>182</v>
      </c>
      <c r="F6" s="11" t="s">
        <v>200</v>
      </c>
      <c r="G6" s="11" t="s">
        <v>102</v>
      </c>
      <c r="H6" s="11" t="s">
        <v>103</v>
      </c>
      <c r="I6" s="12" t="s">
        <v>104</v>
      </c>
      <c r="J6" s="12" t="s">
        <v>105</v>
      </c>
      <c r="K6" s="12" t="s">
        <v>191</v>
      </c>
      <c r="L6" s="12" t="s">
        <v>106</v>
      </c>
      <c r="M6" s="12" t="s">
        <v>107</v>
      </c>
      <c r="N6" s="13" t="s">
        <v>108</v>
      </c>
      <c r="O6" s="13" t="s">
        <v>109</v>
      </c>
      <c r="P6" s="13" t="s">
        <v>110</v>
      </c>
      <c r="Q6" s="14" t="s">
        <v>111</v>
      </c>
      <c r="R6" s="14" t="s">
        <v>112</v>
      </c>
      <c r="S6" s="14" t="s">
        <v>113</v>
      </c>
      <c r="T6" s="15" t="s">
        <v>114</v>
      </c>
      <c r="U6" s="15" t="s">
        <v>115</v>
      </c>
      <c r="V6" s="15" t="s">
        <v>116</v>
      </c>
      <c r="W6" s="15" t="s">
        <v>117</v>
      </c>
      <c r="X6" s="15" t="s">
        <v>118</v>
      </c>
      <c r="Y6" s="15" t="s">
        <v>119</v>
      </c>
      <c r="Z6" s="15" t="s">
        <v>120</v>
      </c>
      <c r="AA6" s="15" t="s">
        <v>121</v>
      </c>
      <c r="AB6" s="15" t="s">
        <v>122</v>
      </c>
      <c r="AC6" s="15" t="s">
        <v>123</v>
      </c>
      <c r="AD6" s="15" t="s">
        <v>124</v>
      </c>
      <c r="AE6" s="15" t="s">
        <v>125</v>
      </c>
      <c r="AF6" s="15" t="s">
        <v>126</v>
      </c>
      <c r="AG6" s="15" t="s">
        <v>127</v>
      </c>
      <c r="AH6" s="15" t="s">
        <v>128</v>
      </c>
      <c r="AI6" s="15" t="s">
        <v>129</v>
      </c>
      <c r="AJ6" s="15" t="s">
        <v>130</v>
      </c>
      <c r="AK6" s="15" t="s">
        <v>131</v>
      </c>
      <c r="AL6" s="15" t="s">
        <v>132</v>
      </c>
      <c r="AM6" s="15" t="s">
        <v>133</v>
      </c>
      <c r="AN6" s="15" t="s">
        <v>134</v>
      </c>
      <c r="AO6" s="15" t="s">
        <v>135</v>
      </c>
      <c r="AP6" s="15" t="s">
        <v>136</v>
      </c>
      <c r="AQ6" s="15" t="s">
        <v>137</v>
      </c>
      <c r="AR6" s="15" t="s">
        <v>138</v>
      </c>
      <c r="AS6" s="15" t="s">
        <v>139</v>
      </c>
      <c r="AT6" s="15" t="s">
        <v>140</v>
      </c>
    </row>
    <row r="7" spans="1:46" x14ac:dyDescent="0.3">
      <c r="A7" s="16">
        <v>1</v>
      </c>
      <c r="B7" s="17" t="s">
        <v>141</v>
      </c>
      <c r="C7" s="17"/>
      <c r="D7" s="18">
        <v>14</v>
      </c>
      <c r="E7" s="18"/>
      <c r="F7" s="18"/>
      <c r="G7" s="19">
        <v>5</v>
      </c>
      <c r="H7" s="18">
        <v>0.8</v>
      </c>
      <c r="I7" s="18">
        <v>14.02</v>
      </c>
      <c r="J7" s="20">
        <v>178.6</v>
      </c>
      <c r="K7" s="20"/>
      <c r="L7" s="20"/>
      <c r="M7" s="20">
        <v>500</v>
      </c>
      <c r="N7" s="18">
        <v>14.06</v>
      </c>
      <c r="O7" s="20">
        <v>351</v>
      </c>
      <c r="P7" s="20">
        <v>3950</v>
      </c>
      <c r="Q7" s="18">
        <v>14.06</v>
      </c>
      <c r="R7" s="20">
        <v>351</v>
      </c>
      <c r="S7" s="19">
        <v>3.95</v>
      </c>
      <c r="T7" s="21">
        <f t="shared" ref="T7:T47" si="0">IF(D7="","",D7)</f>
        <v>14</v>
      </c>
      <c r="U7" s="22">
        <f t="shared" ref="U7:U26" si="1">IF(OR(D7="",G7="",D7=0),"",G7/D7*1000)</f>
        <v>357.14285714285717</v>
      </c>
      <c r="V7" s="22">
        <f t="shared" ref="V7:V26" si="2">IF(OR(G7="",H7=""),"",G7*H7*1000)</f>
        <v>4000</v>
      </c>
      <c r="W7" s="22">
        <f>IF(J7="","",J7/Setup!$B$14)</f>
        <v>357.2</v>
      </c>
      <c r="X7" s="22" t="str">
        <f t="shared" ref="X7:X26" si="3">IF(OR(L7="",M7=""),"",360*M7*L7/1000000)</f>
        <v/>
      </c>
      <c r="Y7" s="21" t="str">
        <f t="shared" ref="Y7:Y26" si="4">IF(X7="","",COS(RADIANS(X7)))</f>
        <v/>
      </c>
      <c r="Z7" s="22" t="str">
        <f t="shared" ref="Z7:Z26" si="5">IF(OR(I7="",W7="",Y7=""),"",I7*W7*Y7)</f>
        <v/>
      </c>
      <c r="AA7" s="23">
        <f t="shared" ref="AA7:AA26" si="6">IF(OR(N7="",I7=""),"",IF(I7=0,"",(N7-I7)/I7))</f>
        <v>2.8530670470756723E-3</v>
      </c>
      <c r="AB7" s="23">
        <f t="shared" ref="AB7:AB26" si="7">IF(OR(O7="",W7=""),"",IF(W7=0,"",(O7-W7)/W7))</f>
        <v>-1.7357222844344874E-2</v>
      </c>
      <c r="AC7" s="23" t="str">
        <f t="shared" ref="AC7:AC26" si="8">IF(OR(P7="",Z7=""),"",IF(Z7=0,"",(P7-Z7)/Z7))</f>
        <v/>
      </c>
      <c r="AD7" s="23">
        <f t="shared" ref="AD7:AD26" si="9">IF(OR(N7="",T7=""),"",IF(T7=0,"",(N7-T7)/T7))</f>
        <v>4.2857142857143215E-3</v>
      </c>
      <c r="AE7" s="23">
        <f t="shared" ref="AE7:AE26" si="10">IF(OR(O7="",U7=""),"",IF(U7=0,"",(O7-U7)/U7))</f>
        <v>-1.7200000000000066E-2</v>
      </c>
      <c r="AF7" s="23">
        <f t="shared" ref="AF7:AF26" si="11">IF(OR(P7="",V7=""),"",IF(V7=0,"",(P7-V7)/V7))</f>
        <v>-1.2500000000000001E-2</v>
      </c>
      <c r="AG7" s="23">
        <f t="shared" ref="AG7:AG26" si="12">IF(OR(Q7="",I7=""),"",IF(I7=0,"",(Q7-I7)/I7))</f>
        <v>2.8530670470756723E-3</v>
      </c>
      <c r="AH7" s="23">
        <f t="shared" ref="AH7:AH26" si="13">IF(OR(R7="",W7=""),"",IF(W7=0,"",(R7-W7)/W7))</f>
        <v>-1.7357222844344874E-2</v>
      </c>
      <c r="AI7" s="23" t="str">
        <f t="shared" ref="AI7:AI26" si="14">IF(OR(S7="",Z7=""),"",IF(Z7=0,"",(S7*1000-Z7)/Z7))</f>
        <v/>
      </c>
      <c r="AJ7" s="23">
        <f t="shared" ref="AJ7:AJ26" si="15">IF(OR(Q7="",T7=""),"",IF(T7=0,"",(Q7-T7)/T7))</f>
        <v>4.2857142857143215E-3</v>
      </c>
      <c r="AK7" s="23">
        <f t="shared" ref="AK7:AK26" si="16">IF(OR(R7="",U7=""),"",IF(U7=0,"",(R7-U7)/U7))</f>
        <v>-1.7200000000000066E-2</v>
      </c>
      <c r="AL7" s="23">
        <f t="shared" ref="AL7:AL26" si="17">IF(OR(S7="",V7=""),"",IF(V7=0,"",(S7*1000-V7)/V7))</f>
        <v>-1.2500000000000001E-2</v>
      </c>
      <c r="AM7" s="23">
        <f t="shared" ref="AM7:AM26" si="18">IF(OR(I7="",T7=""),"",IF(T7=0,"",(I7-T7)/T7))</f>
        <v>1.4285714285713982E-3</v>
      </c>
      <c r="AN7" s="23">
        <f t="shared" ref="AN7:AN26" si="19">IF(OR(W7="",U7=""),"",IF(U7=0,"",(W7-U7)/U7))</f>
        <v>1.5999999999989994E-4</v>
      </c>
      <c r="AO7" s="23" t="str">
        <f t="shared" ref="AO7:AO26" si="20">IF(OR(Z7="",V7=""),"",IF(V7=0,"",(Z7-V7)/V7))</f>
        <v/>
      </c>
      <c r="AP7" s="24" t="str">
        <f>IF(OR(N7="",O7="",P7="",Q7="",R7="",S7=""),"",IF(AND(ABS(N7-Q7)&lt;=Setup!$B$20,ABS(O7-R7)&lt;=Setup!$B$21,ABS(P7-S7*1000)&lt;=Setup!$B$22),"OK","CHECK"))</f>
        <v>OK</v>
      </c>
      <c r="AQ7" s="24" t="str">
        <f>IF(OR(N7="",O7="",P7="",I7="",W7="",Z7=""),"",IF(AND(ABS(N7-I7)/Setup!$B$17&lt;=Setup!$B$16/100,ABS(O7-W7)/Setup!$B$18&lt;=Setup!$B$16/100,ABS(P7-Z7)/Setup!$B$19&lt;=Setup!$B$16/100),"PASS","FAIL"))</f>
        <v/>
      </c>
      <c r="AR7" s="21">
        <f t="shared" ref="AR7:AR26" si="21">IF(OR(I7="",N7="",N7=0),"",I7/N7)</f>
        <v>0.99715504978662872</v>
      </c>
      <c r="AS7" s="21">
        <f t="shared" ref="AS7:AS26" si="22">IF(OR(W7="",O7="",O7=0),"",W7/O7)</f>
        <v>1.0176638176638175</v>
      </c>
      <c r="AT7" s="21" t="str">
        <f t="shared" ref="AT7:AT26" si="23">IF(OR(Z7="",P7="",P7=0),"",Z7/P7)</f>
        <v/>
      </c>
    </row>
    <row r="8" spans="1:46" x14ac:dyDescent="0.3">
      <c r="A8" s="16">
        <v>2</v>
      </c>
      <c r="B8" s="17"/>
      <c r="C8" s="17" t="s">
        <v>184</v>
      </c>
      <c r="D8" s="18">
        <v>12.46</v>
      </c>
      <c r="E8" s="18">
        <v>12.33</v>
      </c>
      <c r="F8" s="18"/>
      <c r="G8" s="19">
        <v>7.5</v>
      </c>
      <c r="H8" s="18"/>
      <c r="I8" s="18">
        <v>12.477</v>
      </c>
      <c r="J8" s="20">
        <v>244.6</v>
      </c>
      <c r="K8" s="20">
        <v>36.64</v>
      </c>
      <c r="L8" s="20">
        <f>(0.002)*(K8/360)*1000000</f>
        <v>203.55555555555554</v>
      </c>
      <c r="M8" s="20">
        <v>500</v>
      </c>
      <c r="N8" s="18">
        <v>12.7</v>
      </c>
      <c r="O8" s="20">
        <v>490</v>
      </c>
      <c r="P8" s="20">
        <v>5.32</v>
      </c>
      <c r="Q8" s="18">
        <v>12.66</v>
      </c>
      <c r="R8" s="20">
        <v>491</v>
      </c>
      <c r="S8" s="19">
        <v>5.48</v>
      </c>
      <c r="T8" s="21">
        <f t="shared" si="0"/>
        <v>12.46</v>
      </c>
      <c r="U8" s="22">
        <f t="shared" si="1"/>
        <v>601.92616372391649</v>
      </c>
      <c r="V8" s="22" t="str">
        <f t="shared" si="2"/>
        <v/>
      </c>
      <c r="W8" s="22">
        <f>IF(J8="","",J8/Setup!$B$14)</f>
        <v>489.2</v>
      </c>
      <c r="X8" s="22">
        <f t="shared" si="3"/>
        <v>36.64</v>
      </c>
      <c r="Y8" s="21">
        <f t="shared" si="4"/>
        <v>0.80240103609716662</v>
      </c>
      <c r="Z8" s="22">
        <f t="shared" si="5"/>
        <v>4897.6540402364235</v>
      </c>
      <c r="AA8" s="23">
        <f t="shared" si="6"/>
        <v>1.7872886110443131E-2</v>
      </c>
      <c r="AB8" s="23">
        <f t="shared" si="7"/>
        <v>1.6353229762878401E-3</v>
      </c>
      <c r="AC8" s="23">
        <f t="shared" si="8"/>
        <v>-0.99891376566080547</v>
      </c>
      <c r="AD8" s="23">
        <f t="shared" si="9"/>
        <v>1.9261637239165203E-2</v>
      </c>
      <c r="AE8" s="23">
        <f t="shared" si="10"/>
        <v>-0.18594666666666659</v>
      </c>
      <c r="AF8" s="23" t="str">
        <f t="shared" si="11"/>
        <v/>
      </c>
      <c r="AG8" s="23">
        <f t="shared" si="12"/>
        <v>1.4666987256552041E-2</v>
      </c>
      <c r="AH8" s="23">
        <f t="shared" si="13"/>
        <v>3.6794766966476112E-3</v>
      </c>
      <c r="AI8" s="23">
        <f t="shared" si="14"/>
        <v>0.11890304112527006</v>
      </c>
      <c r="AJ8" s="23">
        <f t="shared" si="15"/>
        <v>1.6051364365971051E-2</v>
      </c>
      <c r="AK8" s="23">
        <f t="shared" si="16"/>
        <v>-0.18428533333333327</v>
      </c>
      <c r="AL8" s="23" t="str">
        <f t="shared" si="17"/>
        <v/>
      </c>
      <c r="AM8" s="23">
        <f t="shared" si="18"/>
        <v>1.3643659711075008E-3</v>
      </c>
      <c r="AN8" s="23">
        <f t="shared" si="19"/>
        <v>-0.18727573333333331</v>
      </c>
      <c r="AO8" s="23" t="str">
        <f t="shared" si="20"/>
        <v/>
      </c>
      <c r="AP8" s="24" t="str">
        <f>IF(OR(N8="",O8="",P8="",Q8="",R8="",S8=""),"",IF(AND(ABS(N8-Q8)&lt;=Setup!$B$20,ABS(O8-R8)&lt;=Setup!$B$21,ABS(P8-S8*1000)&lt;=Setup!$B$22),"OK","CHECK"))</f>
        <v>CHECK</v>
      </c>
      <c r="AQ8" s="24" t="str">
        <f>IF(OR(N8="",O8="",P8="",I8="",W8="",Z8=""),"",IF(AND(ABS(N8-I8)/Setup!$B$17&lt;=Setup!$B$16/100,ABS(O8-W8)/Setup!$B$18&lt;=Setup!$B$16/100,ABS(P8-Z8)/Setup!$B$19&lt;=Setup!$B$16/100),"PASS","FAIL"))</f>
        <v>FAIL</v>
      </c>
      <c r="AR8" s="21">
        <f t="shared" si="21"/>
        <v>0.98244094488188982</v>
      </c>
      <c r="AS8" s="21">
        <f t="shared" si="22"/>
        <v>0.99836734693877549</v>
      </c>
      <c r="AT8" s="21">
        <f t="shared" si="23"/>
        <v>920.61166169857574</v>
      </c>
    </row>
    <row r="9" spans="1:46" x14ac:dyDescent="0.3">
      <c r="A9" s="16">
        <v>3</v>
      </c>
      <c r="B9" s="17"/>
      <c r="C9" s="17" t="s">
        <v>185</v>
      </c>
      <c r="D9" s="18">
        <v>12.66</v>
      </c>
      <c r="E9" s="18">
        <v>12.436999999999999</v>
      </c>
      <c r="F9" s="18"/>
      <c r="G9" s="19">
        <v>7.5</v>
      </c>
      <c r="H9" s="18"/>
      <c r="I9" s="18">
        <v>12.679</v>
      </c>
      <c r="J9" s="20">
        <v>497.7</v>
      </c>
      <c r="K9" s="20"/>
      <c r="L9" s="20"/>
      <c r="M9" s="20">
        <v>501.6</v>
      </c>
      <c r="N9" s="18">
        <v>12.8</v>
      </c>
      <c r="O9" s="20"/>
      <c r="P9" s="20"/>
      <c r="Q9" s="18">
        <v>12.82</v>
      </c>
      <c r="R9" s="20"/>
      <c r="S9" s="19"/>
      <c r="T9" s="21">
        <f t="shared" si="0"/>
        <v>12.66</v>
      </c>
      <c r="U9" s="22">
        <f t="shared" si="1"/>
        <v>592.41706161137438</v>
      </c>
      <c r="V9" s="22" t="str">
        <f t="shared" si="2"/>
        <v/>
      </c>
      <c r="W9" s="22">
        <f>IF(J9="","",J9/Setup!$B$14)</f>
        <v>995.4</v>
      </c>
      <c r="X9" s="22" t="str">
        <f t="shared" si="3"/>
        <v/>
      </c>
      <c r="Y9" s="21" t="str">
        <f t="shared" si="4"/>
        <v/>
      </c>
      <c r="Z9" s="22" t="str">
        <f t="shared" si="5"/>
        <v/>
      </c>
      <c r="AA9" s="23">
        <f t="shared" si="6"/>
        <v>9.5433393800773269E-3</v>
      </c>
      <c r="AB9" s="23" t="str">
        <f t="shared" si="7"/>
        <v/>
      </c>
      <c r="AC9" s="23" t="str">
        <f t="shared" si="8"/>
        <v/>
      </c>
      <c r="AD9" s="23">
        <f t="shared" si="9"/>
        <v>1.1058451816745701E-2</v>
      </c>
      <c r="AE9" s="23" t="str">
        <f t="shared" si="10"/>
        <v/>
      </c>
      <c r="AF9" s="23" t="str">
        <f t="shared" si="11"/>
        <v/>
      </c>
      <c r="AG9" s="23">
        <f t="shared" si="12"/>
        <v>1.1120750847858666E-2</v>
      </c>
      <c r="AH9" s="23" t="str">
        <f t="shared" si="13"/>
        <v/>
      </c>
      <c r="AI9" s="23" t="str">
        <f t="shared" si="14"/>
        <v/>
      </c>
      <c r="AJ9" s="23">
        <f t="shared" si="15"/>
        <v>1.2638230647709331E-2</v>
      </c>
      <c r="AK9" s="23" t="str">
        <f t="shared" si="16"/>
        <v/>
      </c>
      <c r="AL9" s="23" t="str">
        <f t="shared" si="17"/>
        <v/>
      </c>
      <c r="AM9" s="23">
        <f t="shared" si="18"/>
        <v>1.500789889415492E-3</v>
      </c>
      <c r="AN9" s="23">
        <f t="shared" si="19"/>
        <v>0.68023520000000004</v>
      </c>
      <c r="AO9" s="23" t="str">
        <f t="shared" si="20"/>
        <v/>
      </c>
      <c r="AP9" s="24" t="str">
        <f>IF(OR(N9="",O9="",P9="",Q9="",R9="",S9=""),"",IF(AND(ABS(N9-Q9)&lt;=Setup!$B$20,ABS(O9-R9)&lt;=Setup!$B$21,ABS(P9-S9*1000)&lt;=Setup!$B$22),"OK","CHECK"))</f>
        <v/>
      </c>
      <c r="AQ9" s="24" t="str">
        <f>IF(OR(N9="",O9="",P9="",I9="",W9="",Z9=""),"",IF(AND(ABS(N9-I9)/Setup!$B$17&lt;=Setup!$B$16/100,ABS(O9-W9)/Setup!$B$18&lt;=Setup!$B$16/100,ABS(P9-Z9)/Setup!$B$19&lt;=Setup!$B$16/100),"PASS","FAIL"))</f>
        <v/>
      </c>
      <c r="AR9" s="21">
        <f t="shared" si="21"/>
        <v>0.99054687499999994</v>
      </c>
      <c r="AS9" s="21" t="str">
        <f t="shared" si="22"/>
        <v/>
      </c>
      <c r="AT9" s="21" t="str">
        <f t="shared" si="23"/>
        <v/>
      </c>
    </row>
    <row r="10" spans="1:46" x14ac:dyDescent="0.3">
      <c r="A10" s="16">
        <v>4</v>
      </c>
      <c r="B10" s="17"/>
      <c r="C10" s="17" t="s">
        <v>186</v>
      </c>
      <c r="D10" s="18">
        <v>12.78</v>
      </c>
      <c r="E10" s="18">
        <v>12.58</v>
      </c>
      <c r="F10" s="18"/>
      <c r="G10" s="19">
        <v>7.5</v>
      </c>
      <c r="H10" s="18"/>
      <c r="I10" s="18">
        <v>12.849</v>
      </c>
      <c r="J10" s="20">
        <v>506.3</v>
      </c>
      <c r="K10" s="20"/>
      <c r="L10" s="20"/>
      <c r="M10" s="20">
        <v>501</v>
      </c>
      <c r="N10" s="18">
        <v>12.9</v>
      </c>
      <c r="O10" s="20"/>
      <c r="P10" s="20"/>
      <c r="Q10" s="18">
        <v>12.95</v>
      </c>
      <c r="R10" s="20"/>
      <c r="S10" s="19"/>
      <c r="T10" s="21">
        <f t="shared" si="0"/>
        <v>12.78</v>
      </c>
      <c r="U10" s="22">
        <f t="shared" si="1"/>
        <v>586.85446009389671</v>
      </c>
      <c r="V10" s="22" t="str">
        <f t="shared" si="2"/>
        <v/>
      </c>
      <c r="W10" s="22">
        <f>IF(J10="","",J10/Setup!$B$14)</f>
        <v>1012.6</v>
      </c>
      <c r="X10" s="22" t="str">
        <f t="shared" si="3"/>
        <v/>
      </c>
      <c r="Y10" s="21" t="str">
        <f t="shared" si="4"/>
        <v/>
      </c>
      <c r="Z10" s="22" t="str">
        <f t="shared" si="5"/>
        <v/>
      </c>
      <c r="AA10" s="23">
        <f t="shared" si="6"/>
        <v>3.9691804809712941E-3</v>
      </c>
      <c r="AB10" s="23" t="str">
        <f t="shared" si="7"/>
        <v/>
      </c>
      <c r="AC10" s="23" t="str">
        <f t="shared" si="8"/>
        <v/>
      </c>
      <c r="AD10" s="23">
        <f t="shared" si="9"/>
        <v>9.3896713615024257E-3</v>
      </c>
      <c r="AE10" s="23" t="str">
        <f t="shared" si="10"/>
        <v/>
      </c>
      <c r="AF10" s="23" t="str">
        <f t="shared" si="11"/>
        <v/>
      </c>
      <c r="AG10" s="23">
        <f t="shared" si="12"/>
        <v>7.8605338936881541E-3</v>
      </c>
      <c r="AH10" s="23" t="str">
        <f t="shared" si="13"/>
        <v/>
      </c>
      <c r="AI10" s="23" t="str">
        <f t="shared" si="14"/>
        <v/>
      </c>
      <c r="AJ10" s="23">
        <f t="shared" si="15"/>
        <v>1.3302034428794988E-2</v>
      </c>
      <c r="AK10" s="23" t="str">
        <f t="shared" si="16"/>
        <v/>
      </c>
      <c r="AL10" s="23" t="str">
        <f t="shared" si="17"/>
        <v/>
      </c>
      <c r="AM10" s="23">
        <f t="shared" si="18"/>
        <v>5.3990610328639157E-3</v>
      </c>
      <c r="AN10" s="23">
        <f t="shared" si="19"/>
        <v>0.72547040000000007</v>
      </c>
      <c r="AO10" s="23" t="str">
        <f t="shared" si="20"/>
        <v/>
      </c>
      <c r="AP10" s="24" t="str">
        <f>IF(OR(N10="",O10="",P10="",Q10="",R10="",S10=""),"",IF(AND(ABS(N10-Q10)&lt;=Setup!$B$20,ABS(O10-R10)&lt;=Setup!$B$21,ABS(P10-S10*1000)&lt;=Setup!$B$22),"OK","CHECK"))</f>
        <v/>
      </c>
      <c r="AQ10" s="24" t="str">
        <f>IF(OR(N10="",O10="",P10="",I10="",W10="",Z10=""),"",IF(AND(ABS(N10-I10)/Setup!$B$17&lt;=Setup!$B$16/100,ABS(O10-W10)/Setup!$B$18&lt;=Setup!$B$16/100,ABS(P10-Z10)/Setup!$B$19&lt;=Setup!$B$16/100),"PASS","FAIL"))</f>
        <v/>
      </c>
      <c r="AR10" s="21">
        <f t="shared" si="21"/>
        <v>0.99604651162790692</v>
      </c>
      <c r="AS10" s="21" t="str">
        <f t="shared" si="22"/>
        <v/>
      </c>
      <c r="AT10" s="21" t="str">
        <f t="shared" si="23"/>
        <v/>
      </c>
    </row>
    <row r="11" spans="1:46" x14ac:dyDescent="0.3">
      <c r="A11" s="16">
        <v>5</v>
      </c>
      <c r="B11" s="17"/>
      <c r="C11" s="17" t="s">
        <v>187</v>
      </c>
      <c r="D11" s="18">
        <v>12.903</v>
      </c>
      <c r="E11" s="18">
        <v>12.68</v>
      </c>
      <c r="F11" s="18"/>
      <c r="G11" s="19">
        <v>7.5</v>
      </c>
      <c r="H11" s="18"/>
      <c r="I11" s="18">
        <v>12.95</v>
      </c>
      <c r="J11" s="20">
        <v>518.70000000000005</v>
      </c>
      <c r="K11" s="20"/>
      <c r="L11" s="20"/>
      <c r="M11" s="20">
        <v>501</v>
      </c>
      <c r="N11" s="18">
        <v>13.1</v>
      </c>
      <c r="O11" s="20"/>
      <c r="P11" s="20"/>
      <c r="Q11" s="18">
        <v>13.09</v>
      </c>
      <c r="R11" s="20"/>
      <c r="S11" s="19"/>
      <c r="T11" s="21">
        <f t="shared" si="0"/>
        <v>12.903</v>
      </c>
      <c r="U11" s="22">
        <f t="shared" si="1"/>
        <v>581.26017205301093</v>
      </c>
      <c r="V11" s="22" t="str">
        <f t="shared" si="2"/>
        <v/>
      </c>
      <c r="W11" s="22">
        <f>IF(J11="","",J11/Setup!$B$14)</f>
        <v>1037.4000000000001</v>
      </c>
      <c r="X11" s="22" t="str">
        <f t="shared" si="3"/>
        <v/>
      </c>
      <c r="Y11" s="21" t="str">
        <f t="shared" si="4"/>
        <v/>
      </c>
      <c r="Z11" s="22" t="str">
        <f t="shared" si="5"/>
        <v/>
      </c>
      <c r="AA11" s="23">
        <f t="shared" si="6"/>
        <v>1.1583011583011612E-2</v>
      </c>
      <c r="AB11" s="23" t="str">
        <f t="shared" si="7"/>
        <v/>
      </c>
      <c r="AC11" s="23" t="str">
        <f t="shared" si="8"/>
        <v/>
      </c>
      <c r="AD11" s="23">
        <f t="shared" si="9"/>
        <v>1.526776718592569E-2</v>
      </c>
      <c r="AE11" s="23" t="str">
        <f t="shared" si="10"/>
        <v/>
      </c>
      <c r="AF11" s="23" t="str">
        <f t="shared" si="11"/>
        <v/>
      </c>
      <c r="AG11" s="23">
        <f t="shared" si="12"/>
        <v>1.0810810810810855E-2</v>
      </c>
      <c r="AH11" s="23" t="str">
        <f t="shared" si="13"/>
        <v/>
      </c>
      <c r="AI11" s="23" t="str">
        <f t="shared" si="14"/>
        <v/>
      </c>
      <c r="AJ11" s="23">
        <f t="shared" si="15"/>
        <v>1.4492753623188357E-2</v>
      </c>
      <c r="AK11" s="23" t="str">
        <f t="shared" si="16"/>
        <v/>
      </c>
      <c r="AL11" s="23" t="str">
        <f t="shared" si="17"/>
        <v/>
      </c>
      <c r="AM11" s="23">
        <f t="shared" si="18"/>
        <v>3.6425637448654438E-3</v>
      </c>
      <c r="AN11" s="23">
        <f t="shared" si="19"/>
        <v>0.7847429600000001</v>
      </c>
      <c r="AO11" s="23" t="str">
        <f t="shared" si="20"/>
        <v/>
      </c>
      <c r="AP11" s="24" t="str">
        <f>IF(OR(N11="",O11="",P11="",Q11="",R11="",S11=""),"",IF(AND(ABS(N11-Q11)&lt;=Setup!$B$20,ABS(O11-R11)&lt;=Setup!$B$21,ABS(P11-S11*1000)&lt;=Setup!$B$22),"OK","CHECK"))</f>
        <v/>
      </c>
      <c r="AQ11" s="24" t="str">
        <f>IF(OR(N11="",O11="",P11="",I11="",W11="",Z11=""),"",IF(AND(ABS(N11-I11)/Setup!$B$17&lt;=Setup!$B$16/100,ABS(O11-W11)/Setup!$B$18&lt;=Setup!$B$16/100,ABS(P11-Z11)/Setup!$B$19&lt;=Setup!$B$16/100),"PASS","FAIL"))</f>
        <v/>
      </c>
      <c r="AR11" s="21">
        <f t="shared" si="21"/>
        <v>0.98854961832061061</v>
      </c>
      <c r="AS11" s="21" t="str">
        <f t="shared" si="22"/>
        <v/>
      </c>
      <c r="AT11" s="21" t="str">
        <f t="shared" si="23"/>
        <v/>
      </c>
    </row>
    <row r="12" spans="1:46" x14ac:dyDescent="0.3">
      <c r="A12" s="16">
        <v>6</v>
      </c>
      <c r="B12" s="17"/>
      <c r="C12" s="17" t="s">
        <v>188</v>
      </c>
      <c r="D12" s="18"/>
      <c r="E12" s="18"/>
      <c r="F12" s="18"/>
      <c r="G12" s="19">
        <v>7.5</v>
      </c>
      <c r="H12" s="18"/>
      <c r="I12" s="18"/>
      <c r="J12" s="20"/>
      <c r="K12" s="20"/>
      <c r="L12" s="20"/>
      <c r="M12" s="20"/>
      <c r="N12" s="18"/>
      <c r="O12" s="20"/>
      <c r="P12" s="20"/>
      <c r="Q12" s="18"/>
      <c r="R12" s="20"/>
      <c r="S12" s="19"/>
      <c r="T12" s="21"/>
      <c r="U12" s="22"/>
      <c r="V12" s="22"/>
      <c r="W12" s="22"/>
      <c r="X12" s="22"/>
      <c r="Y12" s="21"/>
      <c r="Z12" s="22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/>
      <c r="AQ12" s="24"/>
      <c r="AR12" s="21"/>
      <c r="AS12" s="21"/>
      <c r="AT12" s="21"/>
    </row>
    <row r="13" spans="1:46" x14ac:dyDescent="0.3">
      <c r="A13" s="16">
        <v>7</v>
      </c>
      <c r="B13" s="17"/>
      <c r="C13" s="17" t="s">
        <v>189</v>
      </c>
      <c r="D13" s="18"/>
      <c r="E13" s="18"/>
      <c r="F13" s="18"/>
      <c r="G13" s="19">
        <v>7.5</v>
      </c>
      <c r="H13" s="18"/>
      <c r="I13" s="18"/>
      <c r="J13" s="20"/>
      <c r="K13" s="20"/>
      <c r="L13" s="20"/>
      <c r="M13" s="20"/>
      <c r="N13" s="18"/>
      <c r="O13" s="20"/>
      <c r="P13" s="20"/>
      <c r="Q13" s="18"/>
      <c r="R13" s="20"/>
      <c r="S13" s="19"/>
      <c r="T13" s="21"/>
      <c r="U13" s="22"/>
      <c r="V13" s="22"/>
      <c r="W13" s="22"/>
      <c r="X13" s="22"/>
      <c r="Y13" s="21"/>
      <c r="Z13" s="22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/>
      <c r="AQ13" s="24"/>
      <c r="AR13" s="21"/>
      <c r="AS13" s="21"/>
      <c r="AT13" s="21"/>
    </row>
    <row r="14" spans="1:46" x14ac:dyDescent="0.3">
      <c r="A14" s="16">
        <v>8</v>
      </c>
      <c r="B14" s="17"/>
      <c r="C14" s="17" t="s">
        <v>190</v>
      </c>
      <c r="D14" s="18"/>
      <c r="E14" s="18"/>
      <c r="F14" s="18"/>
      <c r="G14" s="19">
        <v>7.5</v>
      </c>
      <c r="H14" s="18"/>
      <c r="I14" s="18"/>
      <c r="J14" s="20"/>
      <c r="K14" s="20"/>
      <c r="L14" s="20"/>
      <c r="M14" s="20"/>
      <c r="N14" s="18"/>
      <c r="O14" s="20"/>
      <c r="P14" s="20"/>
      <c r="Q14" s="18"/>
      <c r="R14" s="20"/>
      <c r="S14" s="19"/>
      <c r="T14" s="21"/>
      <c r="U14" s="22"/>
      <c r="V14" s="22"/>
      <c r="W14" s="22"/>
      <c r="X14" s="22"/>
      <c r="Y14" s="21"/>
      <c r="Z14" s="22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/>
      <c r="AQ14" s="24"/>
      <c r="AR14" s="21"/>
      <c r="AS14" s="21"/>
      <c r="AT14" s="21"/>
    </row>
    <row r="15" spans="1:46" x14ac:dyDescent="0.3">
      <c r="A15" s="16">
        <v>9</v>
      </c>
      <c r="B15" s="17"/>
      <c r="C15" s="17"/>
      <c r="D15" s="18"/>
      <c r="E15" s="18"/>
      <c r="F15" s="18"/>
      <c r="G15" s="19">
        <v>7.5</v>
      </c>
      <c r="H15" s="18"/>
      <c r="I15" s="18"/>
      <c r="J15" s="20"/>
      <c r="K15" s="20"/>
      <c r="L15" s="20"/>
      <c r="M15" s="20"/>
      <c r="N15" s="18"/>
      <c r="O15" s="20"/>
      <c r="P15" s="20"/>
      <c r="Q15" s="18"/>
      <c r="R15" s="20"/>
      <c r="S15" s="19"/>
      <c r="T15" s="21"/>
      <c r="U15" s="22"/>
      <c r="V15" s="22"/>
      <c r="W15" s="22"/>
      <c r="X15" s="22"/>
      <c r="Y15" s="21"/>
      <c r="Z15" s="22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/>
      <c r="AQ15" s="24"/>
      <c r="AR15" s="21"/>
      <c r="AS15" s="21"/>
      <c r="AT15" s="21"/>
    </row>
    <row r="16" spans="1:46" x14ac:dyDescent="0.3">
      <c r="A16" s="16">
        <v>10</v>
      </c>
      <c r="B16" s="17"/>
      <c r="C16" s="17"/>
      <c r="D16" s="18"/>
      <c r="E16" s="18"/>
      <c r="F16" s="18"/>
      <c r="G16" s="19"/>
      <c r="H16" s="18"/>
      <c r="I16" s="18"/>
      <c r="J16" s="20"/>
      <c r="K16" s="20"/>
      <c r="L16" s="20"/>
      <c r="M16" s="20"/>
      <c r="N16" s="18"/>
      <c r="O16" s="20"/>
      <c r="P16" s="20"/>
      <c r="Q16" s="18"/>
      <c r="R16" s="20"/>
      <c r="S16" s="19"/>
      <c r="T16" s="21" t="str">
        <f t="shared" si="0"/>
        <v/>
      </c>
      <c r="U16" s="22" t="str">
        <f t="shared" si="1"/>
        <v/>
      </c>
      <c r="V16" s="22" t="str">
        <f t="shared" si="2"/>
        <v/>
      </c>
      <c r="W16" s="22" t="str">
        <f>IF(J16="","",J16/Setup!$B$14)</f>
        <v/>
      </c>
      <c r="X16" s="22" t="str">
        <f t="shared" si="3"/>
        <v/>
      </c>
      <c r="Y16" s="21" t="str">
        <f t="shared" si="4"/>
        <v/>
      </c>
      <c r="Z16" s="22" t="str">
        <f t="shared" si="5"/>
        <v/>
      </c>
      <c r="AA16" s="23" t="str">
        <f t="shared" si="6"/>
        <v/>
      </c>
      <c r="AB16" s="23" t="str">
        <f t="shared" si="7"/>
        <v/>
      </c>
      <c r="AC16" s="23" t="str">
        <f t="shared" si="8"/>
        <v/>
      </c>
      <c r="AD16" s="23" t="str">
        <f t="shared" si="9"/>
        <v/>
      </c>
      <c r="AE16" s="23" t="str">
        <f t="shared" si="10"/>
        <v/>
      </c>
      <c r="AF16" s="23" t="str">
        <f t="shared" si="11"/>
        <v/>
      </c>
      <c r="AG16" s="23" t="str">
        <f t="shared" si="12"/>
        <v/>
      </c>
      <c r="AH16" s="23" t="str">
        <f t="shared" si="13"/>
        <v/>
      </c>
      <c r="AI16" s="23" t="str">
        <f t="shared" si="14"/>
        <v/>
      </c>
      <c r="AJ16" s="23" t="str">
        <f t="shared" si="15"/>
        <v/>
      </c>
      <c r="AK16" s="23" t="str">
        <f t="shared" si="16"/>
        <v/>
      </c>
      <c r="AL16" s="23" t="str">
        <f t="shared" si="17"/>
        <v/>
      </c>
      <c r="AM16" s="23" t="str">
        <f t="shared" si="18"/>
        <v/>
      </c>
      <c r="AN16" s="23" t="str">
        <f t="shared" si="19"/>
        <v/>
      </c>
      <c r="AO16" s="23" t="str">
        <f t="shared" si="20"/>
        <v/>
      </c>
      <c r="AP16" s="24" t="str">
        <f>IF(OR(N16="",O16="",P16="",Q16="",R16="",S16=""),"",IF(AND(ABS(N16-Q16)&lt;=Setup!$B$20,ABS(O16-R16)&lt;=Setup!$B$21,ABS(P16-S16*1000)&lt;=Setup!$B$22),"OK","CHECK"))</f>
        <v/>
      </c>
      <c r="AQ16" s="24" t="str">
        <f>IF(OR(N16="",O16="",P16="",I16="",W16="",Z16=""),"",IF(AND(ABS(N16-I16)/Setup!$B$17&lt;=Setup!$B$16/100,ABS(O16-W16)/Setup!$B$18&lt;=Setup!$B$16/100,ABS(P16-Z16)/Setup!$B$19&lt;=Setup!$B$16/100),"PASS","FAIL"))</f>
        <v/>
      </c>
      <c r="AR16" s="21" t="str">
        <f t="shared" si="21"/>
        <v/>
      </c>
      <c r="AS16" s="21" t="str">
        <f t="shared" si="22"/>
        <v/>
      </c>
      <c r="AT16" s="21" t="str">
        <f t="shared" si="23"/>
        <v/>
      </c>
    </row>
    <row r="17" spans="1:46" x14ac:dyDescent="0.3">
      <c r="A17" s="16">
        <v>11</v>
      </c>
      <c r="B17" s="17"/>
      <c r="C17" s="17" t="s">
        <v>184</v>
      </c>
      <c r="D17" s="18">
        <v>12.959</v>
      </c>
      <c r="E17" s="18">
        <v>12.898</v>
      </c>
      <c r="F17" s="18"/>
      <c r="G17" s="19">
        <v>2.5</v>
      </c>
      <c r="H17" s="18"/>
      <c r="I17" s="18">
        <v>13</v>
      </c>
      <c r="J17" s="20">
        <v>66.98</v>
      </c>
      <c r="K17" s="20"/>
      <c r="L17" s="20"/>
      <c r="M17" s="20">
        <v>501</v>
      </c>
      <c r="N17" s="18">
        <v>13.1</v>
      </c>
      <c r="O17" s="20"/>
      <c r="P17" s="20"/>
      <c r="Q17" s="18">
        <v>13.14</v>
      </c>
      <c r="R17" s="20"/>
      <c r="S17" s="19"/>
      <c r="T17" s="21">
        <f>IF(D17="","",D17)</f>
        <v>12.959</v>
      </c>
      <c r="U17" s="22">
        <f>IF(OR(D17="",G17="",D17=0),"",G17/D17*1000)</f>
        <v>192.91612007099312</v>
      </c>
      <c r="V17" s="22" t="str">
        <f>IF(OR(G17="",H17=""),"",G17*H17*1000)</f>
        <v/>
      </c>
      <c r="W17" s="22">
        <f>IF(J17="","",J17/Setup!$B$14)</f>
        <v>133.96</v>
      </c>
      <c r="X17" s="22" t="str">
        <f>IF(OR(L17="",M17=""),"",360*M17*L17/1000000)</f>
        <v/>
      </c>
      <c r="Y17" s="21" t="str">
        <f>IF(X17="","",COS(RADIANS(X17)))</f>
        <v/>
      </c>
      <c r="Z17" s="22" t="str">
        <f>IF(OR(I17="",W17="",Y17=""),"",I17*W17*Y17)</f>
        <v/>
      </c>
      <c r="AA17" s="23">
        <f>IF(OR(N17="",I17=""),"",IF(I17=0,"",(N17-I17)/I17))</f>
        <v>7.692307692307665E-3</v>
      </c>
      <c r="AB17" s="23" t="str">
        <f>IF(OR(O17="",W17=""),"",IF(W17=0,"",(O17-W17)/W17))</f>
        <v/>
      </c>
      <c r="AC17" s="23" t="str">
        <f>IF(OR(P17="",Z17=""),"",IF(Z17=0,"",(P17-Z17)/Z17))</f>
        <v/>
      </c>
      <c r="AD17" s="23">
        <f t="shared" ref="AD17:AF20" si="24">IF(OR(N17="",T17=""),"",IF(T17=0,"",(N17-T17)/T17))</f>
        <v>1.0880469172004014E-2</v>
      </c>
      <c r="AE17" s="23" t="str">
        <f t="shared" si="24"/>
        <v/>
      </c>
      <c r="AF17" s="23" t="str">
        <f t="shared" si="24"/>
        <v/>
      </c>
      <c r="AG17" s="23">
        <f>IF(OR(Q17="",I17=""),"",IF(I17=0,"",(Q17-I17)/I17))</f>
        <v>1.0769230769230812E-2</v>
      </c>
      <c r="AH17" s="23" t="str">
        <f>IF(OR(R17="",W17=""),"",IF(W17=0,"",(R17-W17)/W17))</f>
        <v/>
      </c>
      <c r="AI17" s="23" t="str">
        <f>IF(OR(S17="",Z17=""),"",IF(Z17=0,"",(S17*1000-Z17)/Z17))</f>
        <v/>
      </c>
      <c r="AJ17" s="23">
        <f t="shared" ref="AJ17:AK20" si="25">IF(OR(Q17="",T17=""),"",IF(T17=0,"",(Q17-T17)/T17))</f>
        <v>1.3967127093139976E-2</v>
      </c>
      <c r="AK17" s="23" t="str">
        <f t="shared" si="25"/>
        <v/>
      </c>
      <c r="AL17" s="23" t="str">
        <f>IF(OR(S17="",V17=""),"",IF(V17=0,"",(S17*1000-V17)/V17))</f>
        <v/>
      </c>
      <c r="AM17" s="23">
        <f>IF(OR(I17="",T17=""),"",IF(T17=0,"",(I17-T17)/T17))</f>
        <v>3.1638243691643158E-3</v>
      </c>
      <c r="AN17" s="23">
        <f>IF(OR(W17="",U17=""),"",IF(U17=0,"",(W17-U17)/U17))</f>
        <v>-0.30560494399999988</v>
      </c>
      <c r="AO17" s="23" t="str">
        <f>IF(OR(Z17="",V17=""),"",IF(V17=0,"",(Z17-V17)/V17))</f>
        <v/>
      </c>
      <c r="AP17" s="24" t="str">
        <f>IF(OR(N17="",O17="",P17="",Q17="",R17="",S17=""),"",IF(AND(ABS(N17-Q17)&lt;=Setup!$B$20,ABS(O17-R17)&lt;=Setup!$B$21,ABS(P17-S17*1000)&lt;=Setup!$B$22),"OK","CHECK"))</f>
        <v/>
      </c>
      <c r="AQ17" s="24" t="str">
        <f>IF(OR(N17="",O17="",P17="",I17="",W17="",Z17=""),"",IF(AND(ABS(N17-I17)/Setup!$B$17&lt;=Setup!$B$16/100,ABS(O17-W17)/Setup!$B$18&lt;=Setup!$B$16/100,ABS(P17-Z17)/Setup!$B$19&lt;=Setup!$B$16/100),"PASS","FAIL"))</f>
        <v/>
      </c>
      <c r="AR17" s="21">
        <f>IF(OR(I17="",N17="",N17=0),"",I17/N17)</f>
        <v>0.99236641221374045</v>
      </c>
      <c r="AS17" s="21" t="str">
        <f>IF(OR(W17="",O17="",O17=0),"",W17/O17)</f>
        <v/>
      </c>
      <c r="AT17" s="21" t="str">
        <f>IF(OR(Z17="",P17="",P17=0),"",Z17/P17)</f>
        <v/>
      </c>
    </row>
    <row r="18" spans="1:46" x14ac:dyDescent="0.3">
      <c r="A18" s="16">
        <v>12</v>
      </c>
      <c r="B18" s="17"/>
      <c r="C18" s="17" t="s">
        <v>185</v>
      </c>
      <c r="D18" s="18">
        <v>13.108000000000001</v>
      </c>
      <c r="E18" s="18">
        <v>13.045</v>
      </c>
      <c r="F18" s="18"/>
      <c r="G18" s="19">
        <v>2.5</v>
      </c>
      <c r="H18" s="18"/>
      <c r="I18" s="18">
        <v>13.15</v>
      </c>
      <c r="J18" s="20">
        <v>67.75</v>
      </c>
      <c r="K18" s="20"/>
      <c r="L18" s="20"/>
      <c r="M18" s="20">
        <v>501</v>
      </c>
      <c r="N18" s="18">
        <v>13.3</v>
      </c>
      <c r="O18" s="20"/>
      <c r="P18" s="20"/>
      <c r="Q18" s="18">
        <v>13.29</v>
      </c>
      <c r="R18" s="20"/>
      <c r="S18" s="19"/>
      <c r="T18" s="21">
        <f>IF(D18="","",D18)</f>
        <v>13.108000000000001</v>
      </c>
      <c r="U18" s="22">
        <f>IF(OR(D18="",G18="",D18=0),"",G18/D18*1000)</f>
        <v>190.72322245956667</v>
      </c>
      <c r="V18" s="22" t="str">
        <f>IF(OR(G18="",H18=""),"",G18*H18*1000)</f>
        <v/>
      </c>
      <c r="W18" s="22">
        <f>IF(J18="","",J18/Setup!$B$14)</f>
        <v>135.5</v>
      </c>
      <c r="X18" s="22" t="str">
        <f>IF(OR(L18="",M18=""),"",360*M18*L18/1000000)</f>
        <v/>
      </c>
      <c r="Y18" s="21" t="str">
        <f>IF(X18="","",COS(RADIANS(X18)))</f>
        <v/>
      </c>
      <c r="Z18" s="22" t="str">
        <f>IF(OR(I18="",W18="",Y18=""),"",I18*W18*Y18)</f>
        <v/>
      </c>
      <c r="AA18" s="23">
        <f>IF(OR(N18="",I18=""),"",IF(I18=0,"",(N18-I18)/I18))</f>
        <v>1.1406844106463905E-2</v>
      </c>
      <c r="AB18" s="23" t="str">
        <f>IF(OR(O18="",W18=""),"",IF(W18=0,"",(O18-W18)/W18))</f>
        <v/>
      </c>
      <c r="AC18" s="23" t="str">
        <f>IF(OR(P18="",Z18=""),"",IF(Z18=0,"",(P18-Z18)/Z18))</f>
        <v/>
      </c>
      <c r="AD18" s="23">
        <f t="shared" si="24"/>
        <v>1.4647543484894733E-2</v>
      </c>
      <c r="AE18" s="23" t="str">
        <f t="shared" si="24"/>
        <v/>
      </c>
      <c r="AF18" s="23" t="str">
        <f t="shared" si="24"/>
        <v/>
      </c>
      <c r="AG18" s="23">
        <f>IF(OR(Q18="",I18=""),"",IF(I18=0,"",(Q18-I18)/I18))</f>
        <v>1.0646387832699528E-2</v>
      </c>
      <c r="AH18" s="23" t="str">
        <f>IF(OR(R18="",W18=""),"",IF(W18=0,"",(R18-W18)/W18))</f>
        <v/>
      </c>
      <c r="AI18" s="23" t="str">
        <f>IF(OR(S18="",Z18=""),"",IF(Z18=0,"",(S18*1000-Z18)/Z18))</f>
        <v/>
      </c>
      <c r="AJ18" s="23">
        <f t="shared" si="25"/>
        <v>1.3884650595056348E-2</v>
      </c>
      <c r="AK18" s="23" t="str">
        <f t="shared" si="25"/>
        <v/>
      </c>
      <c r="AL18" s="23" t="str">
        <f>IF(OR(S18="",V18=""),"",IF(V18=0,"",(S18*1000-V18)/V18))</f>
        <v/>
      </c>
      <c r="AM18" s="23">
        <f>IF(OR(I18="",T18=""),"",IF(T18=0,"",(I18-T18)/T18))</f>
        <v>3.2041501373207058E-3</v>
      </c>
      <c r="AN18" s="23">
        <f>IF(OR(W18="",U18=""),"",IF(U18=0,"",(W18-U18)/U18))</f>
        <v>-0.28954639999999998</v>
      </c>
      <c r="AO18" s="23" t="str">
        <f>IF(OR(Z18="",V18=""),"",IF(V18=0,"",(Z18-V18)/V18))</f>
        <v/>
      </c>
      <c r="AP18" s="24" t="str">
        <f>IF(OR(N18="",O18="",P18="",Q18="",R18="",S18=""),"",IF(AND(ABS(N18-Q18)&lt;=Setup!$B$20,ABS(O18-R18)&lt;=Setup!$B$21,ABS(P18-S18*1000)&lt;=Setup!$B$22),"OK","CHECK"))</f>
        <v/>
      </c>
      <c r="AQ18" s="24" t="str">
        <f>IF(OR(N18="",O18="",P18="",I18="",W18="",Z18=""),"",IF(AND(ABS(N18-I18)/Setup!$B$17&lt;=Setup!$B$16/100,ABS(O18-W18)/Setup!$B$18&lt;=Setup!$B$16/100,ABS(P18-Z18)/Setup!$B$19&lt;=Setup!$B$16/100),"PASS","FAIL"))</f>
        <v/>
      </c>
      <c r="AR18" s="21">
        <f>IF(OR(I18="",N18="",N18=0),"",I18/N18)</f>
        <v>0.98872180451127822</v>
      </c>
      <c r="AS18" s="21" t="str">
        <f>IF(OR(W18="",O18="",O18=0),"",W18/O18)</f>
        <v/>
      </c>
      <c r="AT18" s="21" t="str">
        <f>IF(OR(Z18="",P18="",P18=0),"",Z18/P18)</f>
        <v/>
      </c>
    </row>
    <row r="19" spans="1:46" x14ac:dyDescent="0.3">
      <c r="A19" s="16">
        <v>13</v>
      </c>
      <c r="B19" s="17"/>
      <c r="C19" s="17" t="s">
        <v>186</v>
      </c>
      <c r="D19" s="18">
        <v>13.225</v>
      </c>
      <c r="E19" s="18">
        <v>13.156000000000001</v>
      </c>
      <c r="F19" s="18"/>
      <c r="G19" s="19">
        <v>2.5</v>
      </c>
      <c r="H19" s="18"/>
      <c r="I19" s="18">
        <v>13.27</v>
      </c>
      <c r="J19" s="20">
        <v>68.319999999999993</v>
      </c>
      <c r="K19" s="20"/>
      <c r="L19" s="20"/>
      <c r="M19" s="20">
        <v>501</v>
      </c>
      <c r="N19" s="18">
        <v>13.4</v>
      </c>
      <c r="O19" s="20"/>
      <c r="P19" s="20"/>
      <c r="Q19" s="18">
        <v>13.41</v>
      </c>
      <c r="R19" s="20"/>
      <c r="S19" s="19"/>
      <c r="T19" s="21">
        <f>IF(D19="","",D19)</f>
        <v>13.225</v>
      </c>
      <c r="U19" s="22">
        <f>IF(OR(D19="",G19="",D19=0),"",G19/D19*1000)</f>
        <v>189.03591682419659</v>
      </c>
      <c r="V19" s="22" t="str">
        <f>IF(OR(G19="",H19=""),"",G19*H19*1000)</f>
        <v/>
      </c>
      <c r="W19" s="22">
        <f>IF(J19="","",J19/Setup!$B$14)</f>
        <v>136.63999999999999</v>
      </c>
      <c r="X19" s="22" t="str">
        <f>IF(OR(L19="",M19=""),"",360*M19*L19/1000000)</f>
        <v/>
      </c>
      <c r="Y19" s="21" t="str">
        <f>IF(X19="","",COS(RADIANS(X19)))</f>
        <v/>
      </c>
      <c r="Z19" s="22" t="str">
        <f>IF(OR(I19="",W19="",Y19=""),"",I19*W19*Y19)</f>
        <v/>
      </c>
      <c r="AA19" s="23">
        <f>IF(OR(N19="",I19=""),"",IF(I19=0,"",(N19-I19)/I19))</f>
        <v>9.796533534287926E-3</v>
      </c>
      <c r="AB19" s="23" t="str">
        <f>IF(OR(O19="",W19=""),"",IF(W19=0,"",(O19-W19)/W19))</f>
        <v/>
      </c>
      <c r="AC19" s="23" t="str">
        <f>IF(OR(P19="",Z19=""),"",IF(Z19=0,"",(P19-Z19)/Z19))</f>
        <v/>
      </c>
      <c r="AD19" s="23">
        <f t="shared" si="24"/>
        <v>1.3232514177693815E-2</v>
      </c>
      <c r="AE19" s="23" t="str">
        <f t="shared" si="24"/>
        <v/>
      </c>
      <c r="AF19" s="23" t="str">
        <f t="shared" si="24"/>
        <v/>
      </c>
      <c r="AG19" s="23">
        <f>IF(OR(Q19="",I19=""),"",IF(I19=0,"",(Q19-I19)/I19))</f>
        <v>1.0550113036925438E-2</v>
      </c>
      <c r="AH19" s="23" t="str">
        <f>IF(OR(R19="",W19=""),"",IF(W19=0,"",(R19-W19)/W19))</f>
        <v/>
      </c>
      <c r="AI19" s="23" t="str">
        <f>IF(OR(S19="",Z19=""),"",IF(Z19=0,"",(S19*1000-Z19)/Z19))</f>
        <v/>
      </c>
      <c r="AJ19" s="23">
        <f t="shared" si="25"/>
        <v>1.3988657844990586E-2</v>
      </c>
      <c r="AK19" s="23" t="str">
        <f t="shared" si="25"/>
        <v/>
      </c>
      <c r="AL19" s="23" t="str">
        <f>IF(OR(S19="",V19=""),"",IF(V19=0,"",(S19*1000-V19)/V19))</f>
        <v/>
      </c>
      <c r="AM19" s="23">
        <f>IF(OR(I19="",T19=""),"",IF(T19=0,"",(I19-T19)/T19))</f>
        <v>3.4026465028355337E-3</v>
      </c>
      <c r="AN19" s="23">
        <f>IF(OR(W19="",U19=""),"",IF(U19=0,"",(W19-U19)/U19))</f>
        <v>-0.27717440000000004</v>
      </c>
      <c r="AO19" s="23" t="str">
        <f>IF(OR(Z19="",V19=""),"",IF(V19=0,"",(Z19-V19)/V19))</f>
        <v/>
      </c>
      <c r="AP19" s="24" t="str">
        <f>IF(OR(N19="",O19="",P19="",Q19="",R19="",S19=""),"",IF(AND(ABS(N19-Q19)&lt;=Setup!$B$20,ABS(O19-R19)&lt;=Setup!$B$21,ABS(P19-S19*1000)&lt;=Setup!$B$22),"OK","CHECK"))</f>
        <v/>
      </c>
      <c r="AQ19" s="24" t="str">
        <f>IF(OR(N19="",O19="",P19="",I19="",W19="",Z19=""),"",IF(AND(ABS(N19-I19)/Setup!$B$17&lt;=Setup!$B$16/100,ABS(O19-W19)/Setup!$B$18&lt;=Setup!$B$16/100,ABS(P19-Z19)/Setup!$B$19&lt;=Setup!$B$16/100),"PASS","FAIL"))</f>
        <v/>
      </c>
      <c r="AR19" s="21">
        <f>IF(OR(I19="",N19="",N19=0),"",I19/N19)</f>
        <v>0.99029850746268655</v>
      </c>
      <c r="AS19" s="21" t="str">
        <f>IF(OR(W19="",O19="",O19=0),"",W19/O19)</f>
        <v/>
      </c>
      <c r="AT19" s="21" t="str">
        <f>IF(OR(Z19="",P19="",P19=0),"",Z19/P19)</f>
        <v/>
      </c>
    </row>
    <row r="20" spans="1:46" x14ac:dyDescent="0.3">
      <c r="A20" s="16">
        <v>14</v>
      </c>
      <c r="B20" s="17"/>
      <c r="C20" s="17" t="s">
        <v>187</v>
      </c>
      <c r="D20" s="18">
        <v>13.332000000000001</v>
      </c>
      <c r="E20" s="18">
        <v>13.269</v>
      </c>
      <c r="F20" s="18"/>
      <c r="G20" s="19">
        <v>2.5</v>
      </c>
      <c r="H20" s="18"/>
      <c r="I20" s="18">
        <v>13.35</v>
      </c>
      <c r="J20" s="20">
        <v>68.819999999999993</v>
      </c>
      <c r="K20" s="20"/>
      <c r="L20" s="20"/>
      <c r="M20" s="20">
        <v>501</v>
      </c>
      <c r="N20" s="18">
        <v>13.5</v>
      </c>
      <c r="O20" s="20"/>
      <c r="P20" s="20"/>
      <c r="Q20" s="18">
        <v>13.53</v>
      </c>
      <c r="R20" s="20"/>
      <c r="S20" s="19"/>
      <c r="T20" s="21">
        <f>IF(D20="","",D20)</f>
        <v>13.332000000000001</v>
      </c>
      <c r="U20" s="22">
        <f>IF(OR(D20="",G20="",D20=0),"",G20/D20*1000)</f>
        <v>187.51875187518752</v>
      </c>
      <c r="V20" s="22" t="str">
        <f>IF(OR(G20="",H20=""),"",G20*H20*1000)</f>
        <v/>
      </c>
      <c r="W20" s="22">
        <f>IF(J20="","",J20/Setup!$B$14)</f>
        <v>137.63999999999999</v>
      </c>
      <c r="X20" s="22" t="str">
        <f>IF(OR(L20="",M20=""),"",360*M20*L20/1000000)</f>
        <v/>
      </c>
      <c r="Y20" s="21" t="str">
        <f>IF(X20="","",COS(RADIANS(X20)))</f>
        <v/>
      </c>
      <c r="Z20" s="22" t="str">
        <f>IF(OR(I20="",W20="",Y20=""),"",I20*W20*Y20)</f>
        <v/>
      </c>
      <c r="AA20" s="23">
        <f>IF(OR(N20="",I20=""),"",IF(I20=0,"",(N20-I20)/I20))</f>
        <v>1.1235955056179803E-2</v>
      </c>
      <c r="AB20" s="23" t="str">
        <f>IF(OR(O20="",W20=""),"",IF(W20=0,"",(O20-W20)/W20))</f>
        <v/>
      </c>
      <c r="AC20" s="23" t="str">
        <f>IF(OR(P20="",Z20=""),"",IF(Z20=0,"",(P20-Z20)/Z20))</f>
        <v/>
      </c>
      <c r="AD20" s="23">
        <f t="shared" si="24"/>
        <v>1.2601260126012545E-2</v>
      </c>
      <c r="AE20" s="23" t="str">
        <f t="shared" si="24"/>
        <v/>
      </c>
      <c r="AF20" s="23" t="str">
        <f t="shared" si="24"/>
        <v/>
      </c>
      <c r="AG20" s="23">
        <f>IF(OR(Q20="",I20=""),"",IF(I20=0,"",(Q20-I20)/I20))</f>
        <v>1.348314606741571E-2</v>
      </c>
      <c r="AH20" s="23" t="str">
        <f>IF(OR(R20="",W20=""),"",IF(W20=0,"",(R20-W20)/W20))</f>
        <v/>
      </c>
      <c r="AI20" s="23" t="str">
        <f>IF(OR(S20="",Z20=""),"",IF(Z20=0,"",(S20*1000-Z20)/Z20))</f>
        <v/>
      </c>
      <c r="AJ20" s="23">
        <f t="shared" si="25"/>
        <v>1.4851485148514747E-2</v>
      </c>
      <c r="AK20" s="23" t="str">
        <f t="shared" si="25"/>
        <v/>
      </c>
      <c r="AL20" s="23" t="str">
        <f>IF(OR(S20="",V20=""),"",IF(V20=0,"",(S20*1000-V20)/V20))</f>
        <v/>
      </c>
      <c r="AM20" s="23">
        <f>IF(OR(I20="",T20=""),"",IF(T20=0,"",(I20-T20)/T20))</f>
        <v>1.3501350135012679E-3</v>
      </c>
      <c r="AN20" s="23">
        <f>IF(OR(W20="",U20=""),"",IF(U20=0,"",(W20-U20)/U20))</f>
        <v>-0.2659934080000001</v>
      </c>
      <c r="AO20" s="23" t="str">
        <f>IF(OR(Z20="",V20=""),"",IF(V20=0,"",(Z20-V20)/V20))</f>
        <v/>
      </c>
      <c r="AP20" s="24" t="str">
        <f>IF(OR(N20="",O20="",P20="",Q20="",R20="",S20=""),"",IF(AND(ABS(N20-Q20)&lt;=Setup!$B$20,ABS(O20-R20)&lt;=Setup!$B$21,ABS(P20-S20*1000)&lt;=Setup!$B$22),"OK","CHECK"))</f>
        <v/>
      </c>
      <c r="AQ20" s="24" t="str">
        <f>IF(OR(N20="",O20="",P20="",I20="",W20="",Z20=""),"",IF(AND(ABS(N20-I20)/Setup!$B$17&lt;=Setup!$B$16/100,ABS(O20-W20)/Setup!$B$18&lt;=Setup!$B$16/100,ABS(P20-Z20)/Setup!$B$19&lt;=Setup!$B$16/100),"PASS","FAIL"))</f>
        <v/>
      </c>
      <c r="AR20" s="21">
        <f>IF(OR(I20="",N20="",N20=0),"",I20/N20)</f>
        <v>0.98888888888888882</v>
      </c>
      <c r="AS20" s="21" t="str">
        <f>IF(OR(W20="",O20="",O20=0),"",W20/O20)</f>
        <v/>
      </c>
      <c r="AT20" s="21" t="str">
        <f>IF(OR(Z20="",P20="",P20=0),"",Z20/P20)</f>
        <v/>
      </c>
    </row>
    <row r="21" spans="1:46" x14ac:dyDescent="0.3">
      <c r="A21" s="16">
        <v>15</v>
      </c>
      <c r="B21" s="17"/>
      <c r="C21" s="17" t="s">
        <v>188</v>
      </c>
      <c r="D21" s="18">
        <v>13.58</v>
      </c>
      <c r="E21" s="18">
        <v>13.518000000000001</v>
      </c>
      <c r="F21" s="18"/>
      <c r="G21" s="19">
        <v>2.5</v>
      </c>
      <c r="H21" s="18"/>
      <c r="I21" s="18">
        <v>13.63</v>
      </c>
      <c r="J21" s="20">
        <v>70.239999999999995</v>
      </c>
      <c r="K21" s="20"/>
      <c r="L21" s="20"/>
      <c r="M21" s="20">
        <v>501</v>
      </c>
      <c r="N21" s="18">
        <v>13.8</v>
      </c>
      <c r="O21" s="20"/>
      <c r="P21" s="20"/>
      <c r="Q21" s="18">
        <v>13.79</v>
      </c>
      <c r="R21" s="20"/>
      <c r="S21" s="19"/>
      <c r="T21" s="21">
        <f t="shared" si="0"/>
        <v>13.58</v>
      </c>
      <c r="U21" s="22">
        <f t="shared" si="1"/>
        <v>184.09425625920471</v>
      </c>
      <c r="V21" s="22" t="str">
        <f t="shared" si="2"/>
        <v/>
      </c>
      <c r="W21" s="22">
        <f>IF(J21="","",J21/Setup!$B$14)</f>
        <v>140.47999999999999</v>
      </c>
      <c r="X21" s="22" t="str">
        <f t="shared" si="3"/>
        <v/>
      </c>
      <c r="Y21" s="21" t="str">
        <f t="shared" si="4"/>
        <v/>
      </c>
      <c r="Z21" s="22" t="str">
        <f t="shared" si="5"/>
        <v/>
      </c>
      <c r="AA21" s="23">
        <f t="shared" si="6"/>
        <v>1.2472487160674976E-2</v>
      </c>
      <c r="AB21" s="23" t="str">
        <f t="shared" si="7"/>
        <v/>
      </c>
      <c r="AC21" s="23" t="str">
        <f t="shared" si="8"/>
        <v/>
      </c>
      <c r="AD21" s="23">
        <f t="shared" si="9"/>
        <v>1.6200294550810061E-2</v>
      </c>
      <c r="AE21" s="23" t="str">
        <f t="shared" si="10"/>
        <v/>
      </c>
      <c r="AF21" s="23" t="str">
        <f t="shared" si="11"/>
        <v/>
      </c>
      <c r="AG21" s="23">
        <f t="shared" si="12"/>
        <v>1.1738811445341038E-2</v>
      </c>
      <c r="AH21" s="23" t="str">
        <f t="shared" si="13"/>
        <v/>
      </c>
      <c r="AI21" s="23" t="str">
        <f t="shared" si="14"/>
        <v/>
      </c>
      <c r="AJ21" s="23">
        <f t="shared" si="15"/>
        <v>1.5463917525773127E-2</v>
      </c>
      <c r="AK21" s="23" t="str">
        <f t="shared" si="16"/>
        <v/>
      </c>
      <c r="AL21" s="23" t="str">
        <f t="shared" si="17"/>
        <v/>
      </c>
      <c r="AM21" s="23">
        <f t="shared" si="18"/>
        <v>3.6818851251841467E-3</v>
      </c>
      <c r="AN21" s="23">
        <f t="shared" si="19"/>
        <v>-0.23691264000000006</v>
      </c>
      <c r="AO21" s="23" t="str">
        <f t="shared" si="20"/>
        <v/>
      </c>
      <c r="AP21" s="24" t="str">
        <f>IF(OR(N21="",O21="",P21="",Q21="",R21="",S21=""),"",IF(AND(ABS(N21-Q21)&lt;=Setup!$B$20,ABS(O21-R21)&lt;=Setup!$B$21,ABS(P21-S21*1000)&lt;=Setup!$B$22),"OK","CHECK"))</f>
        <v/>
      </c>
      <c r="AQ21" s="24" t="str">
        <f>IF(OR(N21="",O21="",P21="",I21="",W21="",Z21=""),"",IF(AND(ABS(N21-I21)/Setup!$B$17&lt;=Setup!$B$16/100,ABS(O21-W21)/Setup!$B$18&lt;=Setup!$B$16/100,ABS(P21-Z21)/Setup!$B$19&lt;=Setup!$B$16/100),"PASS","FAIL"))</f>
        <v/>
      </c>
      <c r="AR21" s="21">
        <f t="shared" si="21"/>
        <v>0.98768115942028989</v>
      </c>
      <c r="AS21" s="21" t="str">
        <f t="shared" si="22"/>
        <v/>
      </c>
      <c r="AT21" s="21" t="str">
        <f t="shared" si="23"/>
        <v/>
      </c>
    </row>
    <row r="22" spans="1:46" x14ac:dyDescent="0.3">
      <c r="A22" s="16">
        <v>16</v>
      </c>
      <c r="B22" s="17"/>
      <c r="C22" s="17" t="s">
        <v>189</v>
      </c>
      <c r="D22" s="18">
        <v>13.76</v>
      </c>
      <c r="E22" s="18">
        <v>13.69</v>
      </c>
      <c r="F22" s="18"/>
      <c r="G22" s="19">
        <v>2.5</v>
      </c>
      <c r="H22" s="18"/>
      <c r="I22" s="18">
        <v>13.81</v>
      </c>
      <c r="J22" s="20">
        <v>71.22</v>
      </c>
      <c r="K22" s="20"/>
      <c r="L22" s="20"/>
      <c r="M22" s="20">
        <v>502</v>
      </c>
      <c r="N22" s="18">
        <v>14</v>
      </c>
      <c r="O22" s="20"/>
      <c r="P22" s="20"/>
      <c r="Q22" s="18">
        <v>13.97</v>
      </c>
      <c r="R22" s="20"/>
      <c r="S22" s="19"/>
      <c r="T22" s="21">
        <f t="shared" si="0"/>
        <v>13.76</v>
      </c>
      <c r="U22" s="22">
        <f t="shared" si="1"/>
        <v>181.68604651162789</v>
      </c>
      <c r="V22" s="22" t="str">
        <f t="shared" si="2"/>
        <v/>
      </c>
      <c r="W22" s="22">
        <f>IF(J22="","",J22/Setup!$B$14)</f>
        <v>142.44</v>
      </c>
      <c r="X22" s="22" t="str">
        <f t="shared" si="3"/>
        <v/>
      </c>
      <c r="Y22" s="21" t="str">
        <f t="shared" si="4"/>
        <v/>
      </c>
      <c r="Z22" s="22" t="str">
        <f t="shared" si="5"/>
        <v/>
      </c>
      <c r="AA22" s="23">
        <f t="shared" si="6"/>
        <v>1.375814627081821E-2</v>
      </c>
      <c r="AB22" s="23" t="str">
        <f t="shared" si="7"/>
        <v/>
      </c>
      <c r="AC22" s="23" t="str">
        <f t="shared" si="8"/>
        <v/>
      </c>
      <c r="AD22" s="23">
        <f t="shared" si="9"/>
        <v>1.7441860465116296E-2</v>
      </c>
      <c r="AE22" s="23" t="str">
        <f t="shared" si="10"/>
        <v/>
      </c>
      <c r="AF22" s="23" t="str">
        <f t="shared" si="11"/>
        <v/>
      </c>
      <c r="AG22" s="23">
        <f t="shared" si="12"/>
        <v>1.1585807385952218E-2</v>
      </c>
      <c r="AH22" s="23" t="str">
        <f t="shared" si="13"/>
        <v/>
      </c>
      <c r="AI22" s="23" t="str">
        <f t="shared" si="14"/>
        <v/>
      </c>
      <c r="AJ22" s="23">
        <f t="shared" si="15"/>
        <v>1.5261627906976806E-2</v>
      </c>
      <c r="AK22" s="23" t="str">
        <f t="shared" si="16"/>
        <v/>
      </c>
      <c r="AL22" s="23" t="str">
        <f t="shared" si="17"/>
        <v/>
      </c>
      <c r="AM22" s="23">
        <f t="shared" si="18"/>
        <v>3.6337209302326097E-3</v>
      </c>
      <c r="AN22" s="23">
        <f t="shared" si="19"/>
        <v>-0.21601023999999996</v>
      </c>
      <c r="AO22" s="23" t="str">
        <f t="shared" si="20"/>
        <v/>
      </c>
      <c r="AP22" s="24" t="str">
        <f>IF(OR(N22="",O22="",P22="",Q22="",R22="",S22=""),"",IF(AND(ABS(N22-Q22)&lt;=Setup!$B$20,ABS(O22-R22)&lt;=Setup!$B$21,ABS(P22-S22*1000)&lt;=Setup!$B$22),"OK","CHECK"))</f>
        <v/>
      </c>
      <c r="AQ22" s="24" t="str">
        <f>IF(OR(N22="",O22="",P22="",I22="",W22="",Z22=""),"",IF(AND(ABS(N22-I22)/Setup!$B$17&lt;=Setup!$B$16/100,ABS(O22-W22)/Setup!$B$18&lt;=Setup!$B$16/100,ABS(P22-Z22)/Setup!$B$19&lt;=Setup!$B$16/100),"PASS","FAIL"))</f>
        <v/>
      </c>
      <c r="AR22" s="21">
        <f t="shared" si="21"/>
        <v>0.98642857142857143</v>
      </c>
      <c r="AS22" s="21" t="str">
        <f t="shared" si="22"/>
        <v/>
      </c>
      <c r="AT22" s="21" t="str">
        <f t="shared" si="23"/>
        <v/>
      </c>
    </row>
    <row r="23" spans="1:46" x14ac:dyDescent="0.3">
      <c r="A23" s="16">
        <v>17</v>
      </c>
      <c r="B23" s="17"/>
      <c r="C23" s="17" t="s">
        <v>190</v>
      </c>
      <c r="D23" s="18">
        <v>13.877000000000001</v>
      </c>
      <c r="E23" s="18">
        <v>13.82</v>
      </c>
      <c r="F23" s="18"/>
      <c r="G23" s="19">
        <v>2.5</v>
      </c>
      <c r="H23" s="18"/>
      <c r="I23" s="18">
        <v>13.93</v>
      </c>
      <c r="J23" s="20">
        <v>71.790000000000006</v>
      </c>
      <c r="K23" s="20"/>
      <c r="L23" s="20"/>
      <c r="M23" s="20">
        <v>501</v>
      </c>
      <c r="N23" s="18">
        <v>14.1</v>
      </c>
      <c r="O23" s="20"/>
      <c r="P23" s="20"/>
      <c r="Q23" s="18">
        <v>14.09</v>
      </c>
      <c r="R23" s="20"/>
      <c r="S23" s="19"/>
      <c r="T23" s="21">
        <f t="shared" si="0"/>
        <v>13.877000000000001</v>
      </c>
      <c r="U23" s="22">
        <f t="shared" si="1"/>
        <v>180.15421200547669</v>
      </c>
      <c r="V23" s="22" t="str">
        <f t="shared" si="2"/>
        <v/>
      </c>
      <c r="W23" s="22">
        <f>IF(J23="","",J23/Setup!$B$14)</f>
        <v>143.58000000000001</v>
      </c>
      <c r="X23" s="22" t="str">
        <f t="shared" si="3"/>
        <v/>
      </c>
      <c r="Y23" s="21" t="str">
        <f t="shared" si="4"/>
        <v/>
      </c>
      <c r="Z23" s="22" t="str">
        <f t="shared" si="5"/>
        <v/>
      </c>
      <c r="AA23" s="23">
        <f t="shared" si="6"/>
        <v>1.2203876525484561E-2</v>
      </c>
      <c r="AB23" s="23" t="str">
        <f t="shared" si="7"/>
        <v/>
      </c>
      <c r="AC23" s="23" t="str">
        <f t="shared" si="8"/>
        <v/>
      </c>
      <c r="AD23" s="23">
        <f t="shared" si="9"/>
        <v>1.6069755710888447E-2</v>
      </c>
      <c r="AE23" s="23" t="str">
        <f t="shared" si="10"/>
        <v/>
      </c>
      <c r="AF23" s="23" t="str">
        <f t="shared" si="11"/>
        <v/>
      </c>
      <c r="AG23" s="23">
        <f t="shared" si="12"/>
        <v>1.148600143575019E-2</v>
      </c>
      <c r="AH23" s="23" t="str">
        <f t="shared" si="13"/>
        <v/>
      </c>
      <c r="AI23" s="23" t="str">
        <f t="shared" si="14"/>
        <v/>
      </c>
      <c r="AJ23" s="23">
        <f t="shared" si="15"/>
        <v>1.5349138862866554E-2</v>
      </c>
      <c r="AK23" s="23" t="str">
        <f t="shared" si="16"/>
        <v/>
      </c>
      <c r="AL23" s="23" t="str">
        <f t="shared" si="17"/>
        <v/>
      </c>
      <c r="AM23" s="23">
        <f t="shared" si="18"/>
        <v>3.8192692945160371E-3</v>
      </c>
      <c r="AN23" s="23">
        <f t="shared" si="19"/>
        <v>-0.20301613599999996</v>
      </c>
      <c r="AO23" s="23" t="str">
        <f t="shared" si="20"/>
        <v/>
      </c>
      <c r="AP23" s="24" t="str">
        <f>IF(OR(N23="",O23="",P23="",Q23="",R23="",S23=""),"",IF(AND(ABS(N23-Q23)&lt;=Setup!$B$20,ABS(O23-R23)&lt;=Setup!$B$21,ABS(P23-S23*1000)&lt;=Setup!$B$22),"OK","CHECK"))</f>
        <v/>
      </c>
      <c r="AQ23" s="24" t="str">
        <f>IF(OR(N23="",O23="",P23="",I23="",W23="",Z23=""),"",IF(AND(ABS(N23-I23)/Setup!$B$17&lt;=Setup!$B$16/100,ABS(O23-W23)/Setup!$B$18&lt;=Setup!$B$16/100,ABS(P23-Z23)/Setup!$B$19&lt;=Setup!$B$16/100),"PASS","FAIL"))</f>
        <v/>
      </c>
      <c r="AR23" s="21">
        <f t="shared" si="21"/>
        <v>0.98794326241134756</v>
      </c>
      <c r="AS23" s="21" t="str">
        <f t="shared" si="22"/>
        <v/>
      </c>
      <c r="AT23" s="21" t="str">
        <f t="shared" si="23"/>
        <v/>
      </c>
    </row>
    <row r="24" spans="1:46" x14ac:dyDescent="0.3">
      <c r="A24" s="16">
        <v>18</v>
      </c>
      <c r="B24" s="17"/>
      <c r="C24" s="17"/>
      <c r="D24" s="18"/>
      <c r="E24" s="18"/>
      <c r="F24" s="18"/>
      <c r="G24" s="19"/>
      <c r="H24" s="18"/>
      <c r="I24" s="18"/>
      <c r="J24" s="20"/>
      <c r="K24" s="20"/>
      <c r="L24" s="20"/>
      <c r="M24" s="20"/>
      <c r="N24" s="18"/>
      <c r="O24" s="20"/>
      <c r="P24" s="20"/>
      <c r="Q24" s="18"/>
      <c r="R24" s="20"/>
      <c r="S24" s="19"/>
      <c r="T24" s="21" t="str">
        <f t="shared" si="0"/>
        <v/>
      </c>
      <c r="U24" s="22" t="str">
        <f t="shared" si="1"/>
        <v/>
      </c>
      <c r="V24" s="22" t="str">
        <f t="shared" si="2"/>
        <v/>
      </c>
      <c r="W24" s="22" t="str">
        <f>IF(J24="","",J24/Setup!$B$14)</f>
        <v/>
      </c>
      <c r="X24" s="22" t="str">
        <f t="shared" si="3"/>
        <v/>
      </c>
      <c r="Y24" s="21" t="str">
        <f t="shared" si="4"/>
        <v/>
      </c>
      <c r="Z24" s="22" t="str">
        <f t="shared" si="5"/>
        <v/>
      </c>
      <c r="AA24" s="23" t="str">
        <f t="shared" si="6"/>
        <v/>
      </c>
      <c r="AB24" s="23" t="str">
        <f t="shared" si="7"/>
        <v/>
      </c>
      <c r="AC24" s="23" t="str">
        <f t="shared" si="8"/>
        <v/>
      </c>
      <c r="AD24" s="23" t="str">
        <f t="shared" si="9"/>
        <v/>
      </c>
      <c r="AE24" s="23" t="str">
        <f t="shared" si="10"/>
        <v/>
      </c>
      <c r="AF24" s="23" t="str">
        <f t="shared" si="11"/>
        <v/>
      </c>
      <c r="AG24" s="23" t="str">
        <f t="shared" si="12"/>
        <v/>
      </c>
      <c r="AH24" s="23" t="str">
        <f t="shared" si="13"/>
        <v/>
      </c>
      <c r="AI24" s="23" t="str">
        <f t="shared" si="14"/>
        <v/>
      </c>
      <c r="AJ24" s="23" t="str">
        <f t="shared" si="15"/>
        <v/>
      </c>
      <c r="AK24" s="23" t="str">
        <f t="shared" si="16"/>
        <v/>
      </c>
      <c r="AL24" s="23" t="str">
        <f t="shared" si="17"/>
        <v/>
      </c>
      <c r="AM24" s="23" t="str">
        <f t="shared" si="18"/>
        <v/>
      </c>
      <c r="AN24" s="23" t="str">
        <f t="shared" si="19"/>
        <v/>
      </c>
      <c r="AO24" s="23" t="str">
        <f t="shared" si="20"/>
        <v/>
      </c>
      <c r="AP24" s="24" t="str">
        <f>IF(OR(N24="",O24="",P24="",Q24="",R24="",S24=""),"",IF(AND(ABS(N24-Q24)&lt;=Setup!$B$20,ABS(O24-R24)&lt;=Setup!$B$21,ABS(P24-S24*1000)&lt;=Setup!$B$22),"OK","CHECK"))</f>
        <v/>
      </c>
      <c r="AQ24" s="24" t="str">
        <f>IF(OR(N24="",O24="",P24="",I24="",W24="",Z24=""),"",IF(AND(ABS(N24-I24)/Setup!$B$17&lt;=Setup!$B$16/100,ABS(O24-W24)/Setup!$B$18&lt;=Setup!$B$16/100,ABS(P24-Z24)/Setup!$B$19&lt;=Setup!$B$16/100),"PASS","FAIL"))</f>
        <v/>
      </c>
      <c r="AR24" s="21" t="str">
        <f t="shared" si="21"/>
        <v/>
      </c>
      <c r="AS24" s="21" t="str">
        <f t="shared" si="22"/>
        <v/>
      </c>
      <c r="AT24" s="21" t="str">
        <f t="shared" si="23"/>
        <v/>
      </c>
    </row>
    <row r="25" spans="1:46" x14ac:dyDescent="0.3">
      <c r="A25" s="16">
        <v>19</v>
      </c>
      <c r="B25" s="17"/>
      <c r="C25" s="17"/>
      <c r="D25" s="18"/>
      <c r="E25" s="18"/>
      <c r="F25" s="18"/>
      <c r="G25" s="19"/>
      <c r="H25" s="18"/>
      <c r="I25" s="18"/>
      <c r="J25" s="20"/>
      <c r="K25" s="20"/>
      <c r="L25" s="20"/>
      <c r="M25" s="20"/>
      <c r="N25" s="18"/>
      <c r="O25" s="20"/>
      <c r="P25" s="20"/>
      <c r="Q25" s="18"/>
      <c r="R25" s="20"/>
      <c r="S25" s="19"/>
      <c r="T25" s="21" t="str">
        <f t="shared" si="0"/>
        <v/>
      </c>
      <c r="U25" s="22" t="str">
        <f t="shared" si="1"/>
        <v/>
      </c>
      <c r="V25" s="22" t="str">
        <f t="shared" si="2"/>
        <v/>
      </c>
      <c r="W25" s="22" t="str">
        <f>IF(J25="","",J25/Setup!$B$14)</f>
        <v/>
      </c>
      <c r="X25" s="22" t="str">
        <f t="shared" si="3"/>
        <v/>
      </c>
      <c r="Y25" s="21" t="str">
        <f t="shared" si="4"/>
        <v/>
      </c>
      <c r="Z25" s="22" t="str">
        <f t="shared" si="5"/>
        <v/>
      </c>
      <c r="AA25" s="23" t="str">
        <f t="shared" si="6"/>
        <v/>
      </c>
      <c r="AB25" s="23" t="str">
        <f t="shared" si="7"/>
        <v/>
      </c>
      <c r="AC25" s="23" t="str">
        <f t="shared" si="8"/>
        <v/>
      </c>
      <c r="AD25" s="23" t="str">
        <f t="shared" si="9"/>
        <v/>
      </c>
      <c r="AE25" s="23" t="str">
        <f t="shared" si="10"/>
        <v/>
      </c>
      <c r="AF25" s="23" t="str">
        <f t="shared" si="11"/>
        <v/>
      </c>
      <c r="AG25" s="23" t="str">
        <f t="shared" si="12"/>
        <v/>
      </c>
      <c r="AH25" s="23" t="str">
        <f t="shared" si="13"/>
        <v/>
      </c>
      <c r="AI25" s="23" t="str">
        <f t="shared" si="14"/>
        <v/>
      </c>
      <c r="AJ25" s="23" t="str">
        <f t="shared" si="15"/>
        <v/>
      </c>
      <c r="AK25" s="23" t="str">
        <f t="shared" si="16"/>
        <v/>
      </c>
      <c r="AL25" s="23" t="str">
        <f t="shared" si="17"/>
        <v/>
      </c>
      <c r="AM25" s="23" t="str">
        <f t="shared" si="18"/>
        <v/>
      </c>
      <c r="AN25" s="23" t="str">
        <f t="shared" si="19"/>
        <v/>
      </c>
      <c r="AO25" s="23" t="str">
        <f t="shared" si="20"/>
        <v/>
      </c>
      <c r="AP25" s="24" t="str">
        <f>IF(OR(N25="",O25="",P25="",Q25="",R25="",S25=""),"",IF(AND(ABS(N25-Q25)&lt;=Setup!$B$20,ABS(O25-R25)&lt;=Setup!$B$21,ABS(P25-S25*1000)&lt;=Setup!$B$22),"OK","CHECK"))</f>
        <v/>
      </c>
      <c r="AQ25" s="24" t="str">
        <f>IF(OR(N25="",O25="",P25="",I25="",W25="",Z25=""),"",IF(AND(ABS(N25-I25)/Setup!$B$17&lt;=Setup!$B$16/100,ABS(O25-W25)/Setup!$B$18&lt;=Setup!$B$16/100,ABS(P25-Z25)/Setup!$B$19&lt;=Setup!$B$16/100),"PASS","FAIL"))</f>
        <v/>
      </c>
      <c r="AR25" s="21" t="str">
        <f t="shared" si="21"/>
        <v/>
      </c>
      <c r="AS25" s="21" t="str">
        <f t="shared" si="22"/>
        <v/>
      </c>
      <c r="AT25" s="21" t="str">
        <f t="shared" si="23"/>
        <v/>
      </c>
    </row>
    <row r="26" spans="1:46" x14ac:dyDescent="0.3">
      <c r="A26" s="16">
        <v>20</v>
      </c>
      <c r="B26" s="17"/>
      <c r="C26" s="17"/>
      <c r="D26" s="18"/>
      <c r="E26" s="18"/>
      <c r="F26" s="18"/>
      <c r="G26" s="19"/>
      <c r="H26" s="18"/>
      <c r="I26" s="18"/>
      <c r="J26" s="20"/>
      <c r="K26" s="20"/>
      <c r="L26" s="20"/>
      <c r="M26" s="20"/>
      <c r="N26" s="18"/>
      <c r="O26" s="20"/>
      <c r="P26" s="20"/>
      <c r="Q26" s="18"/>
      <c r="R26" s="20"/>
      <c r="S26" s="19"/>
      <c r="T26" s="21" t="str">
        <f t="shared" si="0"/>
        <v/>
      </c>
      <c r="U26" s="22" t="str">
        <f t="shared" si="1"/>
        <v/>
      </c>
      <c r="V26" s="22" t="str">
        <f t="shared" si="2"/>
        <v/>
      </c>
      <c r="W26" s="22" t="str">
        <f>IF(J26="","",J26/Setup!$B$14)</f>
        <v/>
      </c>
      <c r="X26" s="22" t="str">
        <f t="shared" si="3"/>
        <v/>
      </c>
      <c r="Y26" s="21" t="str">
        <f t="shared" si="4"/>
        <v/>
      </c>
      <c r="Z26" s="22" t="str">
        <f t="shared" si="5"/>
        <v/>
      </c>
      <c r="AA26" s="23" t="str">
        <f t="shared" si="6"/>
        <v/>
      </c>
      <c r="AB26" s="23" t="str">
        <f t="shared" si="7"/>
        <v/>
      </c>
      <c r="AC26" s="23" t="str">
        <f t="shared" si="8"/>
        <v/>
      </c>
      <c r="AD26" s="23" t="str">
        <f t="shared" si="9"/>
        <v/>
      </c>
      <c r="AE26" s="23" t="str">
        <f t="shared" si="10"/>
        <v/>
      </c>
      <c r="AF26" s="23" t="str">
        <f t="shared" si="11"/>
        <v/>
      </c>
      <c r="AG26" s="23" t="str">
        <f t="shared" si="12"/>
        <v/>
      </c>
      <c r="AH26" s="23" t="str">
        <f t="shared" si="13"/>
        <v/>
      </c>
      <c r="AI26" s="23" t="str">
        <f t="shared" si="14"/>
        <v/>
      </c>
      <c r="AJ26" s="23" t="str">
        <f t="shared" si="15"/>
        <v/>
      </c>
      <c r="AK26" s="23" t="str">
        <f t="shared" si="16"/>
        <v/>
      </c>
      <c r="AL26" s="23" t="str">
        <f t="shared" si="17"/>
        <v/>
      </c>
      <c r="AM26" s="23" t="str">
        <f t="shared" si="18"/>
        <v/>
      </c>
      <c r="AN26" s="23" t="str">
        <f t="shared" si="19"/>
        <v/>
      </c>
      <c r="AO26" s="23" t="str">
        <f t="shared" si="20"/>
        <v/>
      </c>
      <c r="AP26" s="24" t="str">
        <f>IF(OR(N26="",O26="",P26="",Q26="",R26="",S26=""),"",IF(AND(ABS(N26-Q26)&lt;=Setup!$B$20,ABS(O26-R26)&lt;=Setup!$B$21,ABS(P26-S26*1000)&lt;=Setup!$B$22),"OK","CHECK"))</f>
        <v/>
      </c>
      <c r="AQ26" s="24" t="str">
        <f>IF(OR(N26="",O26="",P26="",I26="",W26="",Z26=""),"",IF(AND(ABS(N26-I26)/Setup!$B$17&lt;=Setup!$B$16/100,ABS(O26-W26)/Setup!$B$18&lt;=Setup!$B$16/100,ABS(P26-Z26)/Setup!$B$19&lt;=Setup!$B$16/100),"PASS","FAIL"))</f>
        <v/>
      </c>
      <c r="AR26" s="21" t="str">
        <f t="shared" si="21"/>
        <v/>
      </c>
      <c r="AS26" s="21" t="str">
        <f t="shared" si="22"/>
        <v/>
      </c>
      <c r="AT26" s="21" t="str">
        <f t="shared" si="23"/>
        <v/>
      </c>
    </row>
    <row r="27" spans="1:46" x14ac:dyDescent="0.3">
      <c r="G27" t="s">
        <v>199</v>
      </c>
      <c r="O27" t="s">
        <v>201</v>
      </c>
    </row>
    <row r="28" spans="1:46" x14ac:dyDescent="0.3">
      <c r="B28" s="17" t="s">
        <v>192</v>
      </c>
      <c r="C28" s="17" t="s">
        <v>184</v>
      </c>
      <c r="D28" s="18">
        <v>12.76</v>
      </c>
      <c r="E28" s="18">
        <v>12.55</v>
      </c>
      <c r="F28" s="18">
        <v>21.5</v>
      </c>
      <c r="G28" s="19">
        <f>(E28*E28)/(F28*F28)</f>
        <v>0.34073012439156308</v>
      </c>
      <c r="H28" s="18"/>
      <c r="I28" s="18">
        <v>12.83</v>
      </c>
      <c r="J28" s="20">
        <v>249</v>
      </c>
      <c r="K28" s="20">
        <v>33</v>
      </c>
      <c r="L28" s="20">
        <f>(0.002)*(K28/360)*1000000</f>
        <v>183.33333333333334</v>
      </c>
      <c r="M28" s="20">
        <v>502</v>
      </c>
      <c r="N28" s="18">
        <v>12.8</v>
      </c>
      <c r="O28" s="20">
        <v>494</v>
      </c>
      <c r="P28" s="20">
        <v>5.49</v>
      </c>
      <c r="Q28" s="18">
        <v>12.84</v>
      </c>
      <c r="R28" s="20">
        <v>494</v>
      </c>
      <c r="S28" s="19">
        <v>5.53</v>
      </c>
      <c r="T28" s="21">
        <f t="shared" si="0"/>
        <v>12.76</v>
      </c>
      <c r="U28" s="22">
        <f t="shared" ref="U28:U47" si="26">IF(OR(D28="",G28="",D28=0),"",G28/D28*1000)</f>
        <v>26.702987804981433</v>
      </c>
      <c r="V28" s="22" t="str">
        <f t="shared" ref="V28:V47" si="27">IF(OR(G28="",H28=""),"",G28*H28*1000)</f>
        <v/>
      </c>
      <c r="W28" s="22">
        <f>IF(J28="","",J28/Setup!$B$14)</f>
        <v>498</v>
      </c>
      <c r="X28" s="22">
        <f t="shared" ref="X28:X47" si="28">IF(OR(L28="",M28=""),"",360*M28*L28/1000000)</f>
        <v>33.131999999999998</v>
      </c>
      <c r="Y28" s="21">
        <f t="shared" ref="Y28:Y47" si="29">IF(X28="","",COS(RADIANS(X28)))</f>
        <v>0.83741358510955544</v>
      </c>
      <c r="Z28" s="22">
        <f t="shared" ref="Z28:Z47" si="30">IF(OR(I28="",W28="",Y28=""),"",I28*W28*Y28)</f>
        <v>5350.5201158838872</v>
      </c>
      <c r="AA28" s="23">
        <f t="shared" ref="AA28:AA47" si="31">IF(OR(N28="",I28=""),"",IF(I28=0,"",(N28-I28)/I28))</f>
        <v>-2.3382696804364273E-3</v>
      </c>
      <c r="AB28" s="23">
        <f t="shared" ref="AB28:AB47" si="32">IF(OR(O28="",W28=""),"",IF(W28=0,"",(O28-W28)/W28))</f>
        <v>-8.0321285140562242E-3</v>
      </c>
      <c r="AC28" s="23">
        <f t="shared" ref="AC28:AC47" si="33">IF(OR(P28="",Z28=""),"",IF(Z28=0,"",(P28-Z28)/Z28))</f>
        <v>-0.99897393152794589</v>
      </c>
      <c r="AD28" s="23">
        <f t="shared" ref="AD28:AD47" si="34">IF(OR(N28="",T28=""),"",IF(T28=0,"",(N28-T28)/T28))</f>
        <v>3.1347962382445864E-3</v>
      </c>
      <c r="AE28" s="23">
        <f t="shared" ref="AE28:AE47" si="35">IF(OR(O28="",U28=""),"",IF(U28=0,"",(O28-U28)/U28))</f>
        <v>17.499802479325719</v>
      </c>
      <c r="AF28" s="23" t="str">
        <f t="shared" ref="AF28:AF47" si="36">IF(OR(P28="",V28=""),"",IF(V28=0,"",(P28-V28)/V28))</f>
        <v/>
      </c>
      <c r="AG28" s="23">
        <f t="shared" ref="AG28:AG47" si="37">IF(OR(Q28="",I28=""),"",IF(I28=0,"",(Q28-I28)/I28))</f>
        <v>7.7942322681214243E-4</v>
      </c>
      <c r="AH28" s="23">
        <f t="shared" ref="AH28:AH47" si="38">IF(OR(R28="",W28=""),"",IF(W28=0,"",(R28-W28)/W28))</f>
        <v>-8.0321285140562242E-3</v>
      </c>
      <c r="AI28" s="23">
        <f t="shared" ref="AI28:AI47" si="39">IF(OR(S28="",Z28=""),"",IF(Z28=0,"",(S28*1000-Z28)/Z28))</f>
        <v>3.3544380775860951E-2</v>
      </c>
      <c r="AJ28" s="23">
        <f t="shared" ref="AJ28:AJ47" si="40">IF(OR(Q28="",T28=""),"",IF(T28=0,"",(Q28-T28)/T28))</f>
        <v>6.269592476489034E-3</v>
      </c>
      <c r="AK28" s="23">
        <f t="shared" ref="AK28:AK47" si="41">IF(OR(R28="",U28=""),"",IF(U28=0,"",(R28-U28)/U28))</f>
        <v>17.499802479325719</v>
      </c>
      <c r="AL28" s="23" t="str">
        <f t="shared" ref="AL28:AL47" si="42">IF(OR(S28="",V28=""),"",IF(V28=0,"",(S28*1000-V28)/V28))</f>
        <v/>
      </c>
      <c r="AM28" s="23">
        <f t="shared" ref="AM28:AM47" si="43">IF(OR(I28="",T28=""),"",IF(T28=0,"",(I28-T28)/T28))</f>
        <v>5.4858934169279222E-3</v>
      </c>
      <c r="AN28" s="23">
        <f t="shared" ref="AN28:AN47" si="44">IF(OR(W28="",U28=""),"",IF(U28=0,"",(W28-U28)/U28))</f>
        <v>17.649598450818235</v>
      </c>
      <c r="AO28" s="23" t="str">
        <f t="shared" ref="AO28:AO47" si="45">IF(OR(Z28="",V28=""),"",IF(V28=0,"",(Z28-V28)/V28))</f>
        <v/>
      </c>
      <c r="AP28" s="24" t="str">
        <f>IF(OR(N28="",O28="",P28="",Q28="",R28="",S28=""),"",IF(AND(ABS(N28-Q28)&lt;=Setup!$B$20,ABS(O28-R28)&lt;=Setup!$B$21,ABS(P28-S28*1000)&lt;=Setup!$B$22),"OK","CHECK"))</f>
        <v>CHECK</v>
      </c>
      <c r="AQ28" s="24" t="str">
        <f>IF(OR(N28="",O28="",P28="",I28="",W28="",Z28=""),"",IF(AND(ABS(N28-I28)/Setup!$B$17&lt;=Setup!$B$16/100,ABS(O28-W28)/Setup!$B$18&lt;=Setup!$B$16/100,ABS(P28-Z28)/Setup!$B$19&lt;=Setup!$B$16/100),"PASS","FAIL"))</f>
        <v>FAIL</v>
      </c>
      <c r="AR28" s="21">
        <f t="shared" ref="AR28:AR47" si="46">IF(OR(I28="",N28="",N28=0),"",I28/N28)</f>
        <v>1.0023437499999999</v>
      </c>
      <c r="AS28" s="21">
        <f t="shared" ref="AS28:AS47" si="47">IF(OR(W28="",O28="",O28=0),"",W28/O28)</f>
        <v>1.0080971659919029</v>
      </c>
      <c r="AT28" s="21">
        <f t="shared" ref="AT28:AT47" si="48">IF(OR(Z28="",P28="",P28=0),"",Z28/P28)</f>
        <v>974.59382802985192</v>
      </c>
    </row>
    <row r="29" spans="1:46" x14ac:dyDescent="0.3">
      <c r="B29" s="17" t="s">
        <v>192</v>
      </c>
      <c r="C29" s="17" t="s">
        <v>184</v>
      </c>
      <c r="D29" s="18">
        <v>12.84</v>
      </c>
      <c r="E29" s="18">
        <v>12.76</v>
      </c>
      <c r="F29" s="18">
        <v>60.65</v>
      </c>
      <c r="G29" s="19"/>
      <c r="H29" s="18"/>
      <c r="I29" s="18">
        <v>12.92</v>
      </c>
      <c r="J29" s="20">
        <v>101.79</v>
      </c>
      <c r="K29" s="20">
        <v>14</v>
      </c>
      <c r="L29" s="20">
        <f t="shared" ref="L29:L47" si="49">(0.002)*(K29/360)*1000000</f>
        <v>77.777777777777786</v>
      </c>
      <c r="M29" s="20">
        <v>502</v>
      </c>
      <c r="N29" s="18">
        <v>12.9</v>
      </c>
      <c r="O29" s="20">
        <v>286</v>
      </c>
      <c r="P29" s="20">
        <v>2.54</v>
      </c>
      <c r="Q29" s="18">
        <v>12.92</v>
      </c>
      <c r="R29" s="20">
        <v>202</v>
      </c>
      <c r="S29" s="19">
        <v>2.56</v>
      </c>
      <c r="T29" s="21">
        <f t="shared" si="0"/>
        <v>12.84</v>
      </c>
      <c r="U29" s="22" t="str">
        <f t="shared" si="26"/>
        <v/>
      </c>
      <c r="V29" s="22" t="str">
        <f t="shared" si="27"/>
        <v/>
      </c>
      <c r="W29" s="22">
        <f>IF(J29="","",J29/Setup!$B$14)</f>
        <v>203.58</v>
      </c>
      <c r="X29" s="22">
        <f t="shared" si="28"/>
        <v>14.056000000000003</v>
      </c>
      <c r="Y29" s="21">
        <f t="shared" si="29"/>
        <v>0.97005881217930867</v>
      </c>
      <c r="Z29" s="22">
        <f t="shared" si="30"/>
        <v>2551.5006829463505</v>
      </c>
      <c r="AA29" s="23">
        <f>IF(OR(N29="",I29=""),"",IF(I29=0,"",(N29-I29)/I29))</f>
        <v>-1.5479876160990381E-3</v>
      </c>
      <c r="AB29" s="23">
        <f t="shared" si="32"/>
        <v>0.40485312899105996</v>
      </c>
      <c r="AC29" s="23">
        <f t="shared" si="33"/>
        <v>-0.99900450741911351</v>
      </c>
      <c r="AD29" s="23">
        <f>IF(OR(N29="",T29=""),"",IF(T29=0,"",(N29-T29)/T29))</f>
        <v>4.6728971962617209E-3</v>
      </c>
      <c r="AE29" s="23" t="str">
        <f t="shared" si="35"/>
        <v/>
      </c>
      <c r="AF29" s="23" t="str">
        <f t="shared" si="36"/>
        <v/>
      </c>
      <c r="AG29" s="23">
        <f t="shared" si="37"/>
        <v>0</v>
      </c>
      <c r="AH29" s="23">
        <f t="shared" si="38"/>
        <v>-7.7610767265940293E-3</v>
      </c>
      <c r="AI29" s="23">
        <f t="shared" si="39"/>
        <v>3.3311051454765501E-3</v>
      </c>
      <c r="AJ29" s="23">
        <f t="shared" si="40"/>
        <v>6.2305295950155822E-3</v>
      </c>
      <c r="AK29" s="23" t="str">
        <f t="shared" si="41"/>
        <v/>
      </c>
      <c r="AL29" s="23" t="str">
        <f t="shared" si="42"/>
        <v/>
      </c>
      <c r="AM29" s="23">
        <f t="shared" si="43"/>
        <v>6.2305295950155822E-3</v>
      </c>
      <c r="AN29" s="23" t="str">
        <f t="shared" si="44"/>
        <v/>
      </c>
      <c r="AO29" s="23" t="str">
        <f t="shared" si="45"/>
        <v/>
      </c>
      <c r="AP29" s="24" t="str">
        <f>IF(OR(N29="",O29="",P29="",Q29="",R29="",S29=""),"",IF(AND(ABS(N29-Q29)&lt;=Setup!$B$20,ABS(O29-R29)&lt;=Setup!$B$21,ABS(P29-S29*1000)&lt;=Setup!$B$22),"OK","CHECK"))</f>
        <v>CHECK</v>
      </c>
      <c r="AQ29" s="24" t="str">
        <f>IF(OR(N29="",O29="",P29="",I29="",W29="",Z29=""),"",IF(AND(ABS(N29-I29)/Setup!$B$17&lt;=Setup!$B$16/100,ABS(O29-W29)/Setup!$B$18&lt;=Setup!$B$16/100,ABS(P29-Z29)/Setup!$B$19&lt;=Setup!$B$16/100),"PASS","FAIL"))</f>
        <v>FAIL</v>
      </c>
      <c r="AR29" s="21">
        <f>IF(OR(I29="",N29="",N29=0),"",I29/N29)</f>
        <v>1.0015503875968992</v>
      </c>
      <c r="AS29" s="21">
        <f t="shared" si="47"/>
        <v>0.71181818181818191</v>
      </c>
      <c r="AT29" s="21">
        <f t="shared" si="48"/>
        <v>1004.5278279316341</v>
      </c>
    </row>
    <row r="30" spans="1:46" x14ac:dyDescent="0.3">
      <c r="B30" s="17" t="s">
        <v>192</v>
      </c>
      <c r="C30" s="17" t="s">
        <v>184</v>
      </c>
      <c r="D30" s="18">
        <v>12.9</v>
      </c>
      <c r="E30" s="18">
        <v>12.84</v>
      </c>
      <c r="F30" s="18">
        <v>95.24</v>
      </c>
      <c r="G30" s="19"/>
      <c r="H30" s="18"/>
      <c r="I30" s="18">
        <v>12.97</v>
      </c>
      <c r="J30" s="20">
        <v>66.28</v>
      </c>
      <c r="K30" s="20">
        <v>7.11</v>
      </c>
      <c r="L30" s="20">
        <f t="shared" si="49"/>
        <v>39.5</v>
      </c>
      <c r="M30" s="20">
        <v>502</v>
      </c>
      <c r="N30" s="18">
        <v>13</v>
      </c>
      <c r="O30" s="20">
        <v>187</v>
      </c>
      <c r="P30" s="20">
        <v>1.69</v>
      </c>
      <c r="Q30" s="18">
        <v>12.96</v>
      </c>
      <c r="R30" s="20">
        <v>187</v>
      </c>
      <c r="S30" s="19">
        <v>1.69</v>
      </c>
      <c r="T30" s="21">
        <f t="shared" si="0"/>
        <v>12.9</v>
      </c>
      <c r="U30" s="22" t="str">
        <f t="shared" si="26"/>
        <v/>
      </c>
      <c r="V30" s="22" t="str">
        <f t="shared" si="27"/>
        <v/>
      </c>
      <c r="W30" s="22">
        <f>IF(J30="","",J30/Setup!$B$14)</f>
        <v>132.56</v>
      </c>
      <c r="X30" s="22">
        <f t="shared" si="28"/>
        <v>7.1384400000000001</v>
      </c>
      <c r="Y30" s="21">
        <f t="shared" si="29"/>
        <v>0.99224878976607767</v>
      </c>
      <c r="Z30" s="22">
        <f t="shared" si="30"/>
        <v>1705.9765194409447</v>
      </c>
      <c r="AA30" s="23">
        <f>IF(OR(N30="",I30=""),"",IF(I30=0,"",(N30-I30)/I30))</f>
        <v>2.3130300693908526E-3</v>
      </c>
      <c r="AB30" s="23">
        <f t="shared" si="32"/>
        <v>0.41068195534097762</v>
      </c>
      <c r="AC30" s="23">
        <f t="shared" si="33"/>
        <v>-0.99900936502891968</v>
      </c>
      <c r="AD30" s="23">
        <f>IF(OR(N30="",T30=""),"",IF(T30=0,"",(N30-T30)/T30))</f>
        <v>7.7519379844960962E-3</v>
      </c>
      <c r="AE30" s="23" t="str">
        <f t="shared" si="35"/>
        <v/>
      </c>
      <c r="AF30" s="23" t="str">
        <f t="shared" si="36"/>
        <v/>
      </c>
      <c r="AG30" s="23">
        <f t="shared" si="37"/>
        <v>-7.7101002313028418E-4</v>
      </c>
      <c r="AH30" s="23">
        <f t="shared" si="38"/>
        <v>0.41068195534097762</v>
      </c>
      <c r="AI30" s="23">
        <f t="shared" si="39"/>
        <v>-9.3650289197299477E-3</v>
      </c>
      <c r="AJ30" s="23">
        <f t="shared" si="40"/>
        <v>4.6511627906977125E-3</v>
      </c>
      <c r="AK30" s="23" t="str">
        <f t="shared" si="41"/>
        <v/>
      </c>
      <c r="AL30" s="23" t="str">
        <f t="shared" si="42"/>
        <v/>
      </c>
      <c r="AM30" s="23">
        <f t="shared" si="43"/>
        <v>5.4263565891473084E-3</v>
      </c>
      <c r="AN30" s="23" t="str">
        <f t="shared" si="44"/>
        <v/>
      </c>
      <c r="AO30" s="23" t="str">
        <f t="shared" si="45"/>
        <v/>
      </c>
      <c r="AP30" s="24" t="str">
        <f>IF(OR(N30="",O30="",P30="",Q30="",R30="",S30=""),"",IF(AND(ABS(N30-Q30)&lt;=Setup!$B$20,ABS(O30-R30)&lt;=Setup!$B$21,ABS(P30-S30*1000)&lt;=Setup!$B$22),"OK","CHECK"))</f>
        <v>CHECK</v>
      </c>
      <c r="AQ30" s="24" t="str">
        <f>IF(OR(N30="",O30="",P30="",I30="",W30="",Z30=""),"",IF(AND(ABS(N30-I30)/Setup!$B$17&lt;=Setup!$B$16/100,ABS(O30-W30)/Setup!$B$18&lt;=Setup!$B$16/100,ABS(P30-Z30)/Setup!$B$19&lt;=Setup!$B$16/100),"PASS","FAIL"))</f>
        <v>FAIL</v>
      </c>
      <c r="AR30" s="21">
        <f>IF(OR(I30="",N30="",N30=0),"",I30/N30)</f>
        <v>0.99769230769230777</v>
      </c>
      <c r="AS30" s="21">
        <f t="shared" si="47"/>
        <v>0.70887700534759357</v>
      </c>
      <c r="AT30" s="21">
        <f t="shared" si="48"/>
        <v>1009.4535617993756</v>
      </c>
    </row>
    <row r="31" spans="1:46" x14ac:dyDescent="0.3">
      <c r="B31" s="17" t="s">
        <v>193</v>
      </c>
      <c r="C31" s="17" t="s">
        <v>186</v>
      </c>
      <c r="D31" s="18">
        <v>12.93</v>
      </c>
      <c r="E31" s="18">
        <v>12.72</v>
      </c>
      <c r="F31" s="18">
        <v>21.5</v>
      </c>
      <c r="G31" s="19"/>
      <c r="H31" s="18"/>
      <c r="I31" s="18">
        <v>13.04</v>
      </c>
      <c r="J31" s="20">
        <v>247.2</v>
      </c>
      <c r="K31" s="20">
        <v>29</v>
      </c>
      <c r="L31" s="20">
        <f t="shared" si="49"/>
        <v>161.11111111111111</v>
      </c>
      <c r="M31" s="20">
        <v>501</v>
      </c>
      <c r="N31" s="18">
        <v>13</v>
      </c>
      <c r="O31" s="20">
        <v>707</v>
      </c>
      <c r="P31" s="20">
        <v>5.68</v>
      </c>
      <c r="Q31" s="18">
        <v>13</v>
      </c>
      <c r="R31" s="20">
        <v>707</v>
      </c>
      <c r="S31" s="19">
        <v>5.62</v>
      </c>
      <c r="T31" s="21">
        <f t="shared" si="0"/>
        <v>12.93</v>
      </c>
      <c r="U31" s="22" t="str">
        <f t="shared" si="26"/>
        <v/>
      </c>
      <c r="V31" s="22" t="str">
        <f t="shared" si="27"/>
        <v/>
      </c>
      <c r="W31" s="22">
        <f>IF(J31="","",J31/Setup!$B$14)</f>
        <v>494.4</v>
      </c>
      <c r="X31" s="22">
        <f t="shared" si="28"/>
        <v>29.058</v>
      </c>
      <c r="Y31" s="21">
        <f t="shared" si="29"/>
        <v>0.87412849069853238</v>
      </c>
      <c r="Z31" s="22">
        <f t="shared" si="30"/>
        <v>5635.485400449661</v>
      </c>
      <c r="AA31" s="23">
        <f t="shared" si="31"/>
        <v>-3.0674846625766221E-3</v>
      </c>
      <c r="AB31" s="23">
        <f t="shared" si="32"/>
        <v>0.43001618122977353</v>
      </c>
      <c r="AC31" s="23">
        <f t="shared" si="33"/>
        <v>-0.99899210101767866</v>
      </c>
      <c r="AD31" s="23">
        <f t="shared" si="34"/>
        <v>5.4137664346481269E-3</v>
      </c>
      <c r="AE31" s="23" t="str">
        <f t="shared" si="35"/>
        <v/>
      </c>
      <c r="AF31" s="23" t="str">
        <f t="shared" si="36"/>
        <v/>
      </c>
      <c r="AG31" s="23">
        <f t="shared" si="37"/>
        <v>-3.0674846625766221E-3</v>
      </c>
      <c r="AH31" s="23">
        <f t="shared" si="38"/>
        <v>0.43001618122977353</v>
      </c>
      <c r="AI31" s="23">
        <f t="shared" si="39"/>
        <v>-2.747837914445743E-3</v>
      </c>
      <c r="AJ31" s="23">
        <f t="shared" si="40"/>
        <v>5.4137664346481269E-3</v>
      </c>
      <c r="AK31" s="23" t="str">
        <f t="shared" si="41"/>
        <v/>
      </c>
      <c r="AL31" s="23" t="str">
        <f t="shared" si="42"/>
        <v/>
      </c>
      <c r="AM31" s="23">
        <f t="shared" si="43"/>
        <v>8.5073472544469793E-3</v>
      </c>
      <c r="AN31" s="23" t="str">
        <f t="shared" si="44"/>
        <v/>
      </c>
      <c r="AO31" s="23" t="str">
        <f t="shared" si="45"/>
        <v/>
      </c>
      <c r="AP31" s="24" t="str">
        <f>IF(OR(N31="",O31="",P31="",Q31="",R31="",S31=""),"",IF(AND(ABS(N31-Q31)&lt;=Setup!$B$20,ABS(O31-R31)&lt;=Setup!$B$21,ABS(P31-S31*1000)&lt;=Setup!$B$22),"OK","CHECK"))</f>
        <v>CHECK</v>
      </c>
      <c r="AQ31" s="24" t="str">
        <f>IF(OR(N31="",O31="",P31="",I31="",W31="",Z31=""),"",IF(AND(ABS(N31-I31)/Setup!$B$17&lt;=Setup!$B$16/100,ABS(O31-W31)/Setup!$B$18&lt;=Setup!$B$16/100,ABS(P31-Z31)/Setup!$B$19&lt;=Setup!$B$16/100),"PASS","FAIL"))</f>
        <v>FAIL</v>
      </c>
      <c r="AR31" s="21">
        <f t="shared" si="46"/>
        <v>1.003076923076923</v>
      </c>
      <c r="AS31" s="21">
        <f t="shared" si="47"/>
        <v>0.69929278642149928</v>
      </c>
      <c r="AT31" s="21">
        <f t="shared" si="48"/>
        <v>992.16292261437695</v>
      </c>
    </row>
    <row r="32" spans="1:46" x14ac:dyDescent="0.3">
      <c r="B32" s="17" t="s">
        <v>193</v>
      </c>
      <c r="C32" s="17" t="s">
        <v>186</v>
      </c>
      <c r="D32" s="18">
        <v>13.08</v>
      </c>
      <c r="E32" s="18">
        <v>12.99</v>
      </c>
      <c r="F32" s="18">
        <v>63.2</v>
      </c>
      <c r="G32" s="19"/>
      <c r="H32" s="18"/>
      <c r="I32" s="18">
        <v>13.17</v>
      </c>
      <c r="J32" s="20">
        <v>96.6</v>
      </c>
      <c r="K32" s="20">
        <v>11.7</v>
      </c>
      <c r="L32" s="20">
        <f t="shared" si="49"/>
        <v>65.000000000000014</v>
      </c>
      <c r="M32" s="20">
        <v>501</v>
      </c>
      <c r="N32" s="18">
        <v>13.1</v>
      </c>
      <c r="O32" s="20">
        <v>275</v>
      </c>
      <c r="P32" s="20">
        <v>2.48</v>
      </c>
      <c r="Q32" s="18">
        <v>13.15</v>
      </c>
      <c r="R32" s="20">
        <v>274</v>
      </c>
      <c r="S32" s="19">
        <v>2.4900000000000002</v>
      </c>
      <c r="T32" s="21">
        <f t="shared" si="0"/>
        <v>13.08</v>
      </c>
      <c r="U32" s="22" t="str">
        <f t="shared" si="26"/>
        <v/>
      </c>
      <c r="V32" s="22" t="str">
        <f t="shared" si="27"/>
        <v/>
      </c>
      <c r="W32" s="22">
        <f>IF(J32="","",J32/Setup!$B$14)</f>
        <v>193.2</v>
      </c>
      <c r="X32" s="22">
        <f t="shared" si="28"/>
        <v>11.723400000000002</v>
      </c>
      <c r="Y32" s="21">
        <f t="shared" si="29"/>
        <v>0.97913990919863803</v>
      </c>
      <c r="Z32" s="22">
        <f t="shared" si="30"/>
        <v>2491.3666671210194</v>
      </c>
      <c r="AA32" s="23">
        <f t="shared" si="31"/>
        <v>-5.3151100987092088E-3</v>
      </c>
      <c r="AB32" s="23">
        <f t="shared" si="32"/>
        <v>0.42339544513457567</v>
      </c>
      <c r="AC32" s="23">
        <f t="shared" si="33"/>
        <v>-0.99900456242241298</v>
      </c>
      <c r="AD32" s="23">
        <f t="shared" si="34"/>
        <v>1.5290519877675516E-3</v>
      </c>
      <c r="AE32" s="23" t="str">
        <f t="shared" si="35"/>
        <v/>
      </c>
      <c r="AF32" s="23" t="str">
        <f t="shared" si="36"/>
        <v/>
      </c>
      <c r="AG32" s="23">
        <f t="shared" si="37"/>
        <v>-1.5186028853454497E-3</v>
      </c>
      <c r="AH32" s="23">
        <f t="shared" si="38"/>
        <v>0.41821946169772267</v>
      </c>
      <c r="AI32" s="23">
        <f t="shared" si="39"/>
        <v>-5.4856121303040282E-4</v>
      </c>
      <c r="AJ32" s="23">
        <f t="shared" si="40"/>
        <v>5.3516819571865657E-3</v>
      </c>
      <c r="AK32" s="23" t="str">
        <f t="shared" si="41"/>
        <v/>
      </c>
      <c r="AL32" s="23" t="str">
        <f t="shared" si="42"/>
        <v/>
      </c>
      <c r="AM32" s="23">
        <f t="shared" si="43"/>
        <v>6.8807339449541175E-3</v>
      </c>
      <c r="AN32" s="23" t="str">
        <f t="shared" si="44"/>
        <v/>
      </c>
      <c r="AO32" s="23" t="str">
        <f t="shared" si="45"/>
        <v/>
      </c>
      <c r="AP32" s="24" t="str">
        <f>IF(OR(N32="",O32="",P32="",Q32="",R32="",S32=""),"",IF(AND(ABS(N32-Q32)&lt;=Setup!$B$20,ABS(O32-R32)&lt;=Setup!$B$21,ABS(P32-S32*1000)&lt;=Setup!$B$22),"OK","CHECK"))</f>
        <v>CHECK</v>
      </c>
      <c r="AQ32" s="24" t="str">
        <f>IF(OR(N32="",O32="",P32="",I32="",W32="",Z32=""),"",IF(AND(ABS(N32-I32)/Setup!$B$17&lt;=Setup!$B$16/100,ABS(O32-W32)/Setup!$B$18&lt;=Setup!$B$16/100,ABS(P32-Z32)/Setup!$B$19&lt;=Setup!$B$16/100),"PASS","FAIL"))</f>
        <v>FAIL</v>
      </c>
      <c r="AR32" s="21">
        <f t="shared" si="46"/>
        <v>1.0053435114503817</v>
      </c>
      <c r="AS32" s="21">
        <f t="shared" si="47"/>
        <v>0.70254545454545447</v>
      </c>
      <c r="AT32" s="21">
        <f t="shared" si="48"/>
        <v>1004.5833335165401</v>
      </c>
    </row>
    <row r="33" spans="2:46" x14ac:dyDescent="0.3">
      <c r="B33" s="17" t="s">
        <v>193</v>
      </c>
      <c r="C33" s="17" t="s">
        <v>186</v>
      </c>
      <c r="D33" s="18">
        <v>13.099</v>
      </c>
      <c r="E33" s="18">
        <v>13.03</v>
      </c>
      <c r="F33" s="18">
        <v>93.3</v>
      </c>
      <c r="G33" s="19"/>
      <c r="H33" s="18"/>
      <c r="I33" s="18">
        <v>13.16</v>
      </c>
      <c r="J33" s="20">
        <v>68.37</v>
      </c>
      <c r="K33" s="20">
        <v>8.56</v>
      </c>
      <c r="L33" s="20">
        <f t="shared" si="49"/>
        <v>47.555555555555557</v>
      </c>
      <c r="M33" s="20">
        <v>501</v>
      </c>
      <c r="N33" s="18">
        <v>13.2</v>
      </c>
      <c r="O33" s="20">
        <v>194</v>
      </c>
      <c r="P33" s="20">
        <v>1.77</v>
      </c>
      <c r="Q33" s="18">
        <v>13.16</v>
      </c>
      <c r="R33" s="20">
        <v>194</v>
      </c>
      <c r="S33" s="19">
        <v>1.76</v>
      </c>
      <c r="T33" s="21">
        <f t="shared" si="0"/>
        <v>13.099</v>
      </c>
      <c r="U33" s="22" t="str">
        <f t="shared" si="26"/>
        <v/>
      </c>
      <c r="V33" s="22" t="str">
        <f t="shared" si="27"/>
        <v/>
      </c>
      <c r="W33" s="22">
        <f>IF(J33="","",J33/Setup!$B$14)</f>
        <v>136.74</v>
      </c>
      <c r="X33" s="22">
        <f t="shared" si="28"/>
        <v>8.5771200000000007</v>
      </c>
      <c r="Y33" s="21">
        <f t="shared" si="29"/>
        <v>0.98881601635715433</v>
      </c>
      <c r="Z33" s="22">
        <f t="shared" si="30"/>
        <v>1779.3728393290733</v>
      </c>
      <c r="AA33" s="23">
        <f t="shared" si="31"/>
        <v>3.0395136778114855E-3</v>
      </c>
      <c r="AB33" s="23">
        <f t="shared" si="32"/>
        <v>0.41875091414363014</v>
      </c>
      <c r="AC33" s="23">
        <f t="shared" si="33"/>
        <v>-0.99900526749600871</v>
      </c>
      <c r="AD33" s="23">
        <f t="shared" si="34"/>
        <v>7.7105122528436593E-3</v>
      </c>
      <c r="AE33" s="23" t="str">
        <f t="shared" si="35"/>
        <v/>
      </c>
      <c r="AF33" s="23" t="str">
        <f t="shared" si="36"/>
        <v/>
      </c>
      <c r="AG33" s="23">
        <f t="shared" si="37"/>
        <v>0</v>
      </c>
      <c r="AH33" s="23">
        <f t="shared" si="38"/>
        <v>0.41875091414363014</v>
      </c>
      <c r="AI33" s="23">
        <f t="shared" si="39"/>
        <v>-1.0887453658322638E-2</v>
      </c>
      <c r="AJ33" s="23">
        <f t="shared" si="40"/>
        <v>4.6568440338957129E-3</v>
      </c>
      <c r="AK33" s="23" t="str">
        <f t="shared" si="41"/>
        <v/>
      </c>
      <c r="AL33" s="23" t="str">
        <f t="shared" si="42"/>
        <v/>
      </c>
      <c r="AM33" s="23">
        <f t="shared" si="43"/>
        <v>4.6568440338957129E-3</v>
      </c>
      <c r="AN33" s="23" t="str">
        <f t="shared" si="44"/>
        <v/>
      </c>
      <c r="AO33" s="23" t="str">
        <f t="shared" si="45"/>
        <v/>
      </c>
      <c r="AP33" s="24" t="str">
        <f>IF(OR(N33="",O33="",P33="",Q33="",R33="",S33=""),"",IF(AND(ABS(N33-Q33)&lt;=Setup!$B$20,ABS(O33-R33)&lt;=Setup!$B$21,ABS(P33-S33*1000)&lt;=Setup!$B$22),"OK","CHECK"))</f>
        <v>CHECK</v>
      </c>
      <c r="AQ33" s="24" t="str">
        <f>IF(OR(N33="",O33="",P33="",I33="",W33="",Z33=""),"",IF(AND(ABS(N33-I33)/Setup!$B$17&lt;=Setup!$B$16/100,ABS(O33-W33)/Setup!$B$18&lt;=Setup!$B$16/100,ABS(P33-Z33)/Setup!$B$19&lt;=Setup!$B$16/100),"PASS","FAIL"))</f>
        <v>FAIL</v>
      </c>
      <c r="AR33" s="21">
        <f t="shared" si="46"/>
        <v>0.99696969696969706</v>
      </c>
      <c r="AS33" s="21">
        <f t="shared" si="47"/>
        <v>0.70484536082474236</v>
      </c>
      <c r="AT33" s="21">
        <f t="shared" si="48"/>
        <v>1005.2953894514538</v>
      </c>
    </row>
    <row r="34" spans="2:46" x14ac:dyDescent="0.3">
      <c r="B34" s="17" t="s">
        <v>194</v>
      </c>
      <c r="C34" s="17" t="s">
        <v>184</v>
      </c>
      <c r="D34" s="18">
        <v>13.25</v>
      </c>
      <c r="E34" s="18">
        <v>13.023</v>
      </c>
      <c r="F34" s="18">
        <v>22.26</v>
      </c>
      <c r="G34" s="19"/>
      <c r="H34" s="18"/>
      <c r="I34" s="18"/>
      <c r="J34" s="20">
        <v>255</v>
      </c>
      <c r="K34" s="20"/>
      <c r="L34" s="20">
        <f t="shared" si="49"/>
        <v>0</v>
      </c>
      <c r="M34" s="20"/>
      <c r="N34" s="18">
        <v>13.3</v>
      </c>
      <c r="O34" s="20">
        <v>728</v>
      </c>
      <c r="P34" s="20">
        <v>6.02</v>
      </c>
      <c r="Q34" s="18">
        <v>13.31</v>
      </c>
      <c r="R34" s="20">
        <v>727</v>
      </c>
      <c r="S34" s="19">
        <v>6.01</v>
      </c>
      <c r="T34" s="21">
        <f t="shared" si="0"/>
        <v>13.25</v>
      </c>
      <c r="U34" s="22" t="str">
        <f t="shared" si="26"/>
        <v/>
      </c>
      <c r="V34" s="22" t="str">
        <f t="shared" si="27"/>
        <v/>
      </c>
      <c r="W34" s="22">
        <f>IF(J34="","",J34/Setup!$B$14)</f>
        <v>510</v>
      </c>
      <c r="X34" s="22" t="str">
        <f t="shared" si="28"/>
        <v/>
      </c>
      <c r="Y34" s="21" t="str">
        <f t="shared" si="29"/>
        <v/>
      </c>
      <c r="Z34" s="22" t="str">
        <f t="shared" si="30"/>
        <v/>
      </c>
      <c r="AA34" s="23" t="str">
        <f t="shared" si="31"/>
        <v/>
      </c>
      <c r="AB34" s="23">
        <f t="shared" si="32"/>
        <v>0.42745098039215684</v>
      </c>
      <c r="AC34" s="23" t="str">
        <f t="shared" si="33"/>
        <v/>
      </c>
      <c r="AD34" s="23">
        <f t="shared" si="34"/>
        <v>3.7735849056604312E-3</v>
      </c>
      <c r="AE34" s="23" t="str">
        <f t="shared" si="35"/>
        <v/>
      </c>
      <c r="AF34" s="23" t="str">
        <f t="shared" si="36"/>
        <v/>
      </c>
      <c r="AG34" s="23" t="str">
        <f t="shared" si="37"/>
        <v/>
      </c>
      <c r="AH34" s="23">
        <f t="shared" si="38"/>
        <v>0.42549019607843136</v>
      </c>
      <c r="AI34" s="23" t="str">
        <f t="shared" si="39"/>
        <v/>
      </c>
      <c r="AJ34" s="23">
        <f t="shared" si="40"/>
        <v>4.5283018867924903E-3</v>
      </c>
      <c r="AK34" s="23" t="str">
        <f t="shared" si="41"/>
        <v/>
      </c>
      <c r="AL34" s="23" t="str">
        <f t="shared" si="42"/>
        <v/>
      </c>
      <c r="AM34" s="23" t="str">
        <f t="shared" si="43"/>
        <v/>
      </c>
      <c r="AN34" s="23" t="str">
        <f t="shared" si="44"/>
        <v/>
      </c>
      <c r="AO34" s="23" t="str">
        <f t="shared" si="45"/>
        <v/>
      </c>
      <c r="AP34" s="24" t="str">
        <f>IF(OR(N34="",O34="",P34="",Q34="",R34="",S34=""),"",IF(AND(ABS(N34-Q34)&lt;=Setup!$B$20,ABS(O34-R34)&lt;=Setup!$B$21,ABS(P34-S34*1000)&lt;=Setup!$B$22),"OK","CHECK"))</f>
        <v>CHECK</v>
      </c>
      <c r="AQ34" s="24" t="str">
        <f>IF(OR(N34="",O34="",P34="",I34="",W34="",Z34=""),"",IF(AND(ABS(N34-I34)/Setup!$B$17&lt;=Setup!$B$16/100,ABS(O34-W34)/Setup!$B$18&lt;=Setup!$B$16/100,ABS(P34-Z34)/Setup!$B$19&lt;=Setup!$B$16/100),"PASS","FAIL"))</f>
        <v/>
      </c>
      <c r="AR34" s="21" t="str">
        <f t="shared" si="46"/>
        <v/>
      </c>
      <c r="AS34" s="21">
        <f t="shared" si="47"/>
        <v>0.7005494505494505</v>
      </c>
      <c r="AT34" s="21" t="str">
        <f t="shared" si="48"/>
        <v/>
      </c>
    </row>
    <row r="35" spans="2:46" x14ac:dyDescent="0.3">
      <c r="B35" s="17" t="s">
        <v>194</v>
      </c>
      <c r="C35" s="17" t="s">
        <v>188</v>
      </c>
      <c r="D35" s="18"/>
      <c r="E35" s="18"/>
      <c r="F35" s="18"/>
      <c r="G35" s="19"/>
      <c r="H35" s="18"/>
      <c r="I35" s="18"/>
      <c r="J35" s="20"/>
      <c r="K35" s="20"/>
      <c r="L35" s="20">
        <f t="shared" si="49"/>
        <v>0</v>
      </c>
      <c r="M35" s="20"/>
      <c r="N35" s="18"/>
      <c r="O35" s="20"/>
      <c r="P35" s="20"/>
      <c r="Q35" s="18"/>
      <c r="R35" s="20"/>
      <c r="S35" s="19"/>
      <c r="T35" s="21" t="str">
        <f t="shared" si="0"/>
        <v/>
      </c>
      <c r="U35" s="22" t="str">
        <f t="shared" si="26"/>
        <v/>
      </c>
      <c r="V35" s="22" t="str">
        <f t="shared" si="27"/>
        <v/>
      </c>
      <c r="W35" s="22" t="str">
        <f>IF(J35="","",J35/Setup!$B$14)</f>
        <v/>
      </c>
      <c r="X35" s="22" t="str">
        <f t="shared" si="28"/>
        <v/>
      </c>
      <c r="Y35" s="21" t="str">
        <f t="shared" si="29"/>
        <v/>
      </c>
      <c r="Z35" s="22" t="str">
        <f t="shared" si="30"/>
        <v/>
      </c>
      <c r="AA35" s="23" t="str">
        <f t="shared" si="31"/>
        <v/>
      </c>
      <c r="AB35" s="23" t="str">
        <f t="shared" si="32"/>
        <v/>
      </c>
      <c r="AC35" s="23" t="str">
        <f t="shared" si="33"/>
        <v/>
      </c>
      <c r="AD35" s="23" t="str">
        <f t="shared" si="34"/>
        <v/>
      </c>
      <c r="AE35" s="23" t="str">
        <f t="shared" si="35"/>
        <v/>
      </c>
      <c r="AF35" s="23" t="str">
        <f t="shared" si="36"/>
        <v/>
      </c>
      <c r="AG35" s="23" t="str">
        <f t="shared" si="37"/>
        <v/>
      </c>
      <c r="AH35" s="23" t="str">
        <f t="shared" si="38"/>
        <v/>
      </c>
      <c r="AI35" s="23" t="str">
        <f t="shared" si="39"/>
        <v/>
      </c>
      <c r="AJ35" s="23" t="str">
        <f t="shared" si="40"/>
        <v/>
      </c>
      <c r="AK35" s="23" t="str">
        <f t="shared" si="41"/>
        <v/>
      </c>
      <c r="AL35" s="23" t="str">
        <f t="shared" si="42"/>
        <v/>
      </c>
      <c r="AM35" s="23" t="str">
        <f t="shared" si="43"/>
        <v/>
      </c>
      <c r="AN35" s="23" t="str">
        <f t="shared" si="44"/>
        <v/>
      </c>
      <c r="AO35" s="23" t="str">
        <f t="shared" si="45"/>
        <v/>
      </c>
      <c r="AP35" s="24" t="str">
        <f>IF(OR(N35="",O35="",P35="",Q35="",R35="",S35=""),"",IF(AND(ABS(N35-Q35)&lt;=Setup!$B$20,ABS(O35-R35)&lt;=Setup!$B$21,ABS(P35-S35*1000)&lt;=Setup!$B$22),"OK","CHECK"))</f>
        <v/>
      </c>
      <c r="AQ35" s="24" t="str">
        <f>IF(OR(N35="",O35="",P35="",I35="",W35="",Z35=""),"",IF(AND(ABS(N35-I35)/Setup!$B$17&lt;=Setup!$B$16/100,ABS(O35-W35)/Setup!$B$18&lt;=Setup!$B$16/100,ABS(P35-Z35)/Setup!$B$19&lt;=Setup!$B$16/100),"PASS","FAIL"))</f>
        <v/>
      </c>
      <c r="AR35" s="21" t="str">
        <f t="shared" si="46"/>
        <v/>
      </c>
      <c r="AS35" s="21" t="str">
        <f t="shared" si="47"/>
        <v/>
      </c>
      <c r="AT35" s="21" t="str">
        <f t="shared" si="48"/>
        <v/>
      </c>
    </row>
    <row r="36" spans="2:46" x14ac:dyDescent="0.3">
      <c r="B36" s="17" t="s">
        <v>194</v>
      </c>
      <c r="C36" s="17" t="s">
        <v>190</v>
      </c>
      <c r="D36" s="18"/>
      <c r="E36" s="18"/>
      <c r="F36" s="18"/>
      <c r="G36" s="19"/>
      <c r="H36" s="18"/>
      <c r="I36" s="18"/>
      <c r="J36" s="20"/>
      <c r="K36" s="20"/>
      <c r="L36" s="20">
        <f t="shared" si="49"/>
        <v>0</v>
      </c>
      <c r="M36" s="20"/>
      <c r="N36" s="18"/>
      <c r="O36" s="20"/>
      <c r="P36" s="20"/>
      <c r="Q36" s="18"/>
      <c r="R36" s="20"/>
      <c r="S36" s="19"/>
      <c r="T36" s="21" t="str">
        <f t="shared" si="0"/>
        <v/>
      </c>
      <c r="U36" s="22" t="str">
        <f t="shared" si="26"/>
        <v/>
      </c>
      <c r="V36" s="22" t="str">
        <f t="shared" si="27"/>
        <v/>
      </c>
      <c r="W36" s="22" t="str">
        <f>IF(J36="","",J36/Setup!$B$14)</f>
        <v/>
      </c>
      <c r="X36" s="22" t="str">
        <f t="shared" si="28"/>
        <v/>
      </c>
      <c r="Y36" s="21" t="str">
        <f t="shared" si="29"/>
        <v/>
      </c>
      <c r="Z36" s="22" t="str">
        <f t="shared" si="30"/>
        <v/>
      </c>
      <c r="AA36" s="23" t="str">
        <f t="shared" si="31"/>
        <v/>
      </c>
      <c r="AB36" s="23" t="str">
        <f t="shared" si="32"/>
        <v/>
      </c>
      <c r="AC36" s="23" t="str">
        <f t="shared" si="33"/>
        <v/>
      </c>
      <c r="AD36" s="23" t="str">
        <f t="shared" si="34"/>
        <v/>
      </c>
      <c r="AE36" s="23" t="str">
        <f t="shared" si="35"/>
        <v/>
      </c>
      <c r="AF36" s="23" t="str">
        <f t="shared" si="36"/>
        <v/>
      </c>
      <c r="AG36" s="23" t="str">
        <f t="shared" si="37"/>
        <v/>
      </c>
      <c r="AH36" s="23" t="str">
        <f t="shared" si="38"/>
        <v/>
      </c>
      <c r="AI36" s="23" t="str">
        <f t="shared" si="39"/>
        <v/>
      </c>
      <c r="AJ36" s="23" t="str">
        <f t="shared" si="40"/>
        <v/>
      </c>
      <c r="AK36" s="23" t="str">
        <f t="shared" si="41"/>
        <v/>
      </c>
      <c r="AL36" s="23" t="str">
        <f t="shared" si="42"/>
        <v/>
      </c>
      <c r="AM36" s="23" t="str">
        <f t="shared" si="43"/>
        <v/>
      </c>
      <c r="AN36" s="23" t="str">
        <f t="shared" si="44"/>
        <v/>
      </c>
      <c r="AO36" s="23" t="str">
        <f t="shared" si="45"/>
        <v/>
      </c>
      <c r="AP36" s="24" t="str">
        <f>IF(OR(N36="",O36="",P36="",Q36="",R36="",S36=""),"",IF(AND(ABS(N36-Q36)&lt;=Setup!$B$20,ABS(O36-R36)&lt;=Setup!$B$21,ABS(P36-S36*1000)&lt;=Setup!$B$22),"OK","CHECK"))</f>
        <v/>
      </c>
      <c r="AQ36" s="24" t="str">
        <f>IF(OR(N36="",O36="",P36="",I36="",W36="",Z36=""),"",IF(AND(ABS(N36-I36)/Setup!$B$17&lt;=Setup!$B$16/100,ABS(O36-W36)/Setup!$B$18&lt;=Setup!$B$16/100,ABS(P36-Z36)/Setup!$B$19&lt;=Setup!$B$16/100),"PASS","FAIL"))</f>
        <v/>
      </c>
      <c r="AR36" s="21" t="str">
        <f t="shared" si="46"/>
        <v/>
      </c>
      <c r="AS36" s="21" t="str">
        <f t="shared" si="47"/>
        <v/>
      </c>
      <c r="AT36" s="21" t="str">
        <f t="shared" si="48"/>
        <v/>
      </c>
    </row>
    <row r="37" spans="2:46" x14ac:dyDescent="0.3">
      <c r="B37" s="17" t="s">
        <v>195</v>
      </c>
      <c r="C37" s="17" t="s">
        <v>184</v>
      </c>
      <c r="D37" s="18"/>
      <c r="E37" s="18"/>
      <c r="F37" s="18"/>
      <c r="G37" s="19"/>
      <c r="H37" s="18"/>
      <c r="I37" s="18"/>
      <c r="J37" s="20"/>
      <c r="K37" s="20"/>
      <c r="L37" s="20">
        <f t="shared" si="49"/>
        <v>0</v>
      </c>
      <c r="M37" s="20"/>
      <c r="N37" s="18"/>
      <c r="O37" s="20"/>
      <c r="P37" s="20"/>
      <c r="Q37" s="18"/>
      <c r="R37" s="20"/>
      <c r="S37" s="19"/>
      <c r="T37" s="21" t="str">
        <f t="shared" si="0"/>
        <v/>
      </c>
      <c r="U37" s="22" t="str">
        <f t="shared" si="26"/>
        <v/>
      </c>
      <c r="V37" s="22" t="str">
        <f t="shared" si="27"/>
        <v/>
      </c>
      <c r="W37" s="22" t="str">
        <f>IF(J37="","",J37/Setup!$B$14)</f>
        <v/>
      </c>
      <c r="X37" s="22" t="str">
        <f t="shared" si="28"/>
        <v/>
      </c>
      <c r="Y37" s="21" t="str">
        <f t="shared" si="29"/>
        <v/>
      </c>
      <c r="Z37" s="22" t="str">
        <f t="shared" si="30"/>
        <v/>
      </c>
      <c r="AA37" s="23" t="str">
        <f t="shared" si="31"/>
        <v/>
      </c>
      <c r="AB37" s="23" t="str">
        <f t="shared" si="32"/>
        <v/>
      </c>
      <c r="AC37" s="23" t="str">
        <f t="shared" si="33"/>
        <v/>
      </c>
      <c r="AD37" s="23" t="str">
        <f t="shared" si="34"/>
        <v/>
      </c>
      <c r="AE37" s="23" t="str">
        <f t="shared" si="35"/>
        <v/>
      </c>
      <c r="AF37" s="23" t="str">
        <f t="shared" si="36"/>
        <v/>
      </c>
      <c r="AG37" s="23" t="str">
        <f t="shared" si="37"/>
        <v/>
      </c>
      <c r="AH37" s="23" t="str">
        <f t="shared" si="38"/>
        <v/>
      </c>
      <c r="AI37" s="23" t="str">
        <f t="shared" si="39"/>
        <v/>
      </c>
      <c r="AJ37" s="23" t="str">
        <f t="shared" si="40"/>
        <v/>
      </c>
      <c r="AK37" s="23" t="str">
        <f t="shared" si="41"/>
        <v/>
      </c>
      <c r="AL37" s="23" t="str">
        <f t="shared" si="42"/>
        <v/>
      </c>
      <c r="AM37" s="23" t="str">
        <f t="shared" si="43"/>
        <v/>
      </c>
      <c r="AN37" s="23" t="str">
        <f t="shared" si="44"/>
        <v/>
      </c>
      <c r="AO37" s="23" t="str">
        <f t="shared" si="45"/>
        <v/>
      </c>
      <c r="AP37" s="24" t="str">
        <f>IF(OR(N37="",O37="",P37="",Q37="",R37="",S37=""),"",IF(AND(ABS(N37-Q37)&lt;=Setup!$B$20,ABS(O37-R37)&lt;=Setup!$B$21,ABS(P37-S37*1000)&lt;=Setup!$B$22),"OK","CHECK"))</f>
        <v/>
      </c>
      <c r="AQ37" s="24" t="str">
        <f>IF(OR(N37="",O37="",P37="",I37="",W37="",Z37=""),"",IF(AND(ABS(N37-I37)/Setup!$B$17&lt;=Setup!$B$16/100,ABS(O37-W37)/Setup!$B$18&lt;=Setup!$B$16/100,ABS(P37-Z37)/Setup!$B$19&lt;=Setup!$B$16/100),"PASS","FAIL"))</f>
        <v/>
      </c>
      <c r="AR37" s="21" t="str">
        <f t="shared" si="46"/>
        <v/>
      </c>
      <c r="AS37" s="21" t="str">
        <f t="shared" si="47"/>
        <v/>
      </c>
      <c r="AT37" s="21" t="str">
        <f t="shared" si="48"/>
        <v/>
      </c>
    </row>
    <row r="38" spans="2:46" x14ac:dyDescent="0.3">
      <c r="B38" s="17" t="s">
        <v>195</v>
      </c>
      <c r="C38" s="17" t="s">
        <v>188</v>
      </c>
      <c r="D38" s="18"/>
      <c r="E38" s="18"/>
      <c r="F38" s="18"/>
      <c r="G38" s="19"/>
      <c r="H38" s="18"/>
      <c r="I38" s="18"/>
      <c r="J38" s="20"/>
      <c r="K38" s="20"/>
      <c r="L38" s="20">
        <f t="shared" si="49"/>
        <v>0</v>
      </c>
      <c r="M38" s="20"/>
      <c r="N38" s="18"/>
      <c r="O38" s="20"/>
      <c r="P38" s="20"/>
      <c r="Q38" s="18"/>
      <c r="R38" s="20"/>
      <c r="S38" s="19"/>
      <c r="T38" s="21" t="str">
        <f t="shared" si="0"/>
        <v/>
      </c>
      <c r="U38" s="22" t="str">
        <f t="shared" si="26"/>
        <v/>
      </c>
      <c r="V38" s="22" t="str">
        <f t="shared" si="27"/>
        <v/>
      </c>
      <c r="W38" s="22" t="str">
        <f>IF(J38="","",J38/Setup!$B$14)</f>
        <v/>
      </c>
      <c r="X38" s="22" t="str">
        <f t="shared" si="28"/>
        <v/>
      </c>
      <c r="Y38" s="21" t="str">
        <f t="shared" si="29"/>
        <v/>
      </c>
      <c r="Z38" s="22" t="str">
        <f t="shared" si="30"/>
        <v/>
      </c>
      <c r="AA38" s="23" t="str">
        <f t="shared" si="31"/>
        <v/>
      </c>
      <c r="AB38" s="23" t="str">
        <f t="shared" si="32"/>
        <v/>
      </c>
      <c r="AC38" s="23" t="str">
        <f t="shared" si="33"/>
        <v/>
      </c>
      <c r="AD38" s="23" t="str">
        <f t="shared" si="34"/>
        <v/>
      </c>
      <c r="AE38" s="23" t="str">
        <f t="shared" si="35"/>
        <v/>
      </c>
      <c r="AF38" s="23" t="str">
        <f t="shared" si="36"/>
        <v/>
      </c>
      <c r="AG38" s="23" t="str">
        <f t="shared" si="37"/>
        <v/>
      </c>
      <c r="AH38" s="23" t="str">
        <f t="shared" si="38"/>
        <v/>
      </c>
      <c r="AI38" s="23" t="str">
        <f t="shared" si="39"/>
        <v/>
      </c>
      <c r="AJ38" s="23" t="str">
        <f t="shared" si="40"/>
        <v/>
      </c>
      <c r="AK38" s="23" t="str">
        <f t="shared" si="41"/>
        <v/>
      </c>
      <c r="AL38" s="23" t="str">
        <f t="shared" si="42"/>
        <v/>
      </c>
      <c r="AM38" s="23" t="str">
        <f t="shared" si="43"/>
        <v/>
      </c>
      <c r="AN38" s="23" t="str">
        <f t="shared" si="44"/>
        <v/>
      </c>
      <c r="AO38" s="23" t="str">
        <f t="shared" si="45"/>
        <v/>
      </c>
      <c r="AP38" s="24" t="str">
        <f>IF(OR(N38="",O38="",P38="",Q38="",R38="",S38=""),"",IF(AND(ABS(N38-Q38)&lt;=Setup!$B$20,ABS(O38-R38)&lt;=Setup!$B$21,ABS(P38-S38*1000)&lt;=Setup!$B$22),"OK","CHECK"))</f>
        <v/>
      </c>
      <c r="AQ38" s="24" t="str">
        <f>IF(OR(N38="",O38="",P38="",I38="",W38="",Z38=""),"",IF(AND(ABS(N38-I38)/Setup!$B$17&lt;=Setup!$B$16/100,ABS(O38-W38)/Setup!$B$18&lt;=Setup!$B$16/100,ABS(P38-Z38)/Setup!$B$19&lt;=Setup!$B$16/100),"PASS","FAIL"))</f>
        <v/>
      </c>
      <c r="AR38" s="21" t="str">
        <f t="shared" si="46"/>
        <v/>
      </c>
      <c r="AS38" s="21" t="str">
        <f t="shared" si="47"/>
        <v/>
      </c>
      <c r="AT38" s="21" t="str">
        <f t="shared" si="48"/>
        <v/>
      </c>
    </row>
    <row r="39" spans="2:46" x14ac:dyDescent="0.3">
      <c r="B39" s="17" t="s">
        <v>195</v>
      </c>
      <c r="C39" s="17" t="s">
        <v>190</v>
      </c>
      <c r="D39" s="18"/>
      <c r="E39" s="18"/>
      <c r="F39" s="18"/>
      <c r="G39" s="19"/>
      <c r="H39" s="18"/>
      <c r="I39" s="18"/>
      <c r="J39" s="20"/>
      <c r="K39" s="20"/>
      <c r="L39" s="20">
        <f t="shared" si="49"/>
        <v>0</v>
      </c>
      <c r="M39" s="20"/>
      <c r="N39" s="18"/>
      <c r="O39" s="20"/>
      <c r="P39" s="20"/>
      <c r="Q39" s="18"/>
      <c r="R39" s="20"/>
      <c r="S39" s="19"/>
      <c r="T39" s="21" t="str">
        <f t="shared" si="0"/>
        <v/>
      </c>
      <c r="U39" s="22" t="str">
        <f t="shared" si="26"/>
        <v/>
      </c>
      <c r="V39" s="22" t="str">
        <f t="shared" si="27"/>
        <v/>
      </c>
      <c r="W39" s="22" t="str">
        <f>IF(J39="","",J39/Setup!$B$14)</f>
        <v/>
      </c>
      <c r="X39" s="22" t="str">
        <f t="shared" si="28"/>
        <v/>
      </c>
      <c r="Y39" s="21" t="str">
        <f t="shared" si="29"/>
        <v/>
      </c>
      <c r="Z39" s="22" t="str">
        <f t="shared" si="30"/>
        <v/>
      </c>
      <c r="AA39" s="23" t="str">
        <f t="shared" si="31"/>
        <v/>
      </c>
      <c r="AB39" s="23" t="str">
        <f t="shared" si="32"/>
        <v/>
      </c>
      <c r="AC39" s="23" t="str">
        <f t="shared" si="33"/>
        <v/>
      </c>
      <c r="AD39" s="23" t="str">
        <f t="shared" si="34"/>
        <v/>
      </c>
      <c r="AE39" s="23" t="str">
        <f t="shared" si="35"/>
        <v/>
      </c>
      <c r="AF39" s="23" t="str">
        <f t="shared" si="36"/>
        <v/>
      </c>
      <c r="AG39" s="23" t="str">
        <f t="shared" si="37"/>
        <v/>
      </c>
      <c r="AH39" s="23" t="str">
        <f t="shared" si="38"/>
        <v/>
      </c>
      <c r="AI39" s="23" t="str">
        <f t="shared" si="39"/>
        <v/>
      </c>
      <c r="AJ39" s="23" t="str">
        <f t="shared" si="40"/>
        <v/>
      </c>
      <c r="AK39" s="23" t="str">
        <f t="shared" si="41"/>
        <v/>
      </c>
      <c r="AL39" s="23" t="str">
        <f t="shared" si="42"/>
        <v/>
      </c>
      <c r="AM39" s="23" t="str">
        <f t="shared" si="43"/>
        <v/>
      </c>
      <c r="AN39" s="23" t="str">
        <f t="shared" si="44"/>
        <v/>
      </c>
      <c r="AO39" s="23" t="str">
        <f t="shared" si="45"/>
        <v/>
      </c>
      <c r="AP39" s="24" t="str">
        <f>IF(OR(N39="",O39="",P39="",Q39="",R39="",S39=""),"",IF(AND(ABS(N39-Q39)&lt;=Setup!$B$20,ABS(O39-R39)&lt;=Setup!$B$21,ABS(P39-S39*1000)&lt;=Setup!$B$22),"OK","CHECK"))</f>
        <v/>
      </c>
      <c r="AQ39" s="24" t="str">
        <f>IF(OR(N39="",O39="",P39="",I39="",W39="",Z39=""),"",IF(AND(ABS(N39-I39)/Setup!$B$17&lt;=Setup!$B$16/100,ABS(O39-W39)/Setup!$B$18&lt;=Setup!$B$16/100,ABS(P39-Z39)/Setup!$B$19&lt;=Setup!$B$16/100),"PASS","FAIL"))</f>
        <v/>
      </c>
      <c r="AR39" s="21" t="str">
        <f t="shared" si="46"/>
        <v/>
      </c>
      <c r="AS39" s="21" t="str">
        <f t="shared" si="47"/>
        <v/>
      </c>
      <c r="AT39" s="21" t="str">
        <f t="shared" si="48"/>
        <v/>
      </c>
    </row>
    <row r="40" spans="2:46" x14ac:dyDescent="0.3">
      <c r="B40" s="17" t="s">
        <v>196</v>
      </c>
      <c r="C40" s="17" t="s">
        <v>184</v>
      </c>
      <c r="D40" s="18"/>
      <c r="E40" s="18"/>
      <c r="F40" s="18"/>
      <c r="G40" s="19"/>
      <c r="H40" s="18"/>
      <c r="I40" s="18"/>
      <c r="J40" s="20"/>
      <c r="K40" s="20"/>
      <c r="L40" s="20">
        <f t="shared" si="49"/>
        <v>0</v>
      </c>
      <c r="M40" s="20"/>
      <c r="N40" s="18"/>
      <c r="O40" s="20"/>
      <c r="P40" s="20"/>
      <c r="Q40" s="18"/>
      <c r="R40" s="20"/>
      <c r="S40" s="19"/>
      <c r="T40" s="21" t="str">
        <f t="shared" si="0"/>
        <v/>
      </c>
      <c r="U40" s="22" t="str">
        <f t="shared" si="26"/>
        <v/>
      </c>
      <c r="V40" s="22" t="str">
        <f t="shared" si="27"/>
        <v/>
      </c>
      <c r="W40" s="22" t="str">
        <f>IF(J40="","",J40/Setup!$B$14)</f>
        <v/>
      </c>
      <c r="X40" s="22" t="str">
        <f t="shared" si="28"/>
        <v/>
      </c>
      <c r="Y40" s="21" t="str">
        <f t="shared" si="29"/>
        <v/>
      </c>
      <c r="Z40" s="22" t="str">
        <f t="shared" si="30"/>
        <v/>
      </c>
      <c r="AA40" s="23" t="str">
        <f t="shared" si="31"/>
        <v/>
      </c>
      <c r="AB40" s="23" t="str">
        <f t="shared" si="32"/>
        <v/>
      </c>
      <c r="AC40" s="23" t="str">
        <f t="shared" si="33"/>
        <v/>
      </c>
      <c r="AD40" s="23" t="str">
        <f t="shared" si="34"/>
        <v/>
      </c>
      <c r="AE40" s="23" t="str">
        <f t="shared" si="35"/>
        <v/>
      </c>
      <c r="AF40" s="23" t="str">
        <f t="shared" si="36"/>
        <v/>
      </c>
      <c r="AG40" s="23" t="str">
        <f t="shared" si="37"/>
        <v/>
      </c>
      <c r="AH40" s="23" t="str">
        <f t="shared" si="38"/>
        <v/>
      </c>
      <c r="AI40" s="23" t="str">
        <f t="shared" si="39"/>
        <v/>
      </c>
      <c r="AJ40" s="23" t="str">
        <f t="shared" si="40"/>
        <v/>
      </c>
      <c r="AK40" s="23" t="str">
        <f t="shared" si="41"/>
        <v/>
      </c>
      <c r="AL40" s="23" t="str">
        <f t="shared" si="42"/>
        <v/>
      </c>
      <c r="AM40" s="23" t="str">
        <f t="shared" si="43"/>
        <v/>
      </c>
      <c r="AN40" s="23" t="str">
        <f t="shared" si="44"/>
        <v/>
      </c>
      <c r="AO40" s="23" t="str">
        <f t="shared" si="45"/>
        <v/>
      </c>
      <c r="AP40" s="24" t="str">
        <f>IF(OR(N40="",O40="",P40="",Q40="",R40="",S40=""),"",IF(AND(ABS(N40-Q40)&lt;=Setup!$B$20,ABS(O40-R40)&lt;=Setup!$B$21,ABS(P40-S40*1000)&lt;=Setup!$B$22),"OK","CHECK"))</f>
        <v/>
      </c>
      <c r="AQ40" s="24" t="str">
        <f>IF(OR(N40="",O40="",P40="",I40="",W40="",Z40=""),"",IF(AND(ABS(N40-I40)/Setup!$B$17&lt;=Setup!$B$16/100,ABS(O40-W40)/Setup!$B$18&lt;=Setup!$B$16/100,ABS(P40-Z40)/Setup!$B$19&lt;=Setup!$B$16/100),"PASS","FAIL"))</f>
        <v/>
      </c>
      <c r="AR40" s="21" t="str">
        <f t="shared" si="46"/>
        <v/>
      </c>
      <c r="AS40" s="21" t="str">
        <f t="shared" si="47"/>
        <v/>
      </c>
      <c r="AT40" s="21" t="str">
        <f t="shared" si="48"/>
        <v/>
      </c>
    </row>
    <row r="41" spans="2:46" x14ac:dyDescent="0.3">
      <c r="B41" s="17" t="s">
        <v>196</v>
      </c>
      <c r="C41" s="17" t="s">
        <v>188</v>
      </c>
      <c r="D41" s="18"/>
      <c r="E41" s="18"/>
      <c r="F41" s="18"/>
      <c r="G41" s="19"/>
      <c r="H41" s="18"/>
      <c r="I41" s="18"/>
      <c r="J41" s="20"/>
      <c r="K41" s="20"/>
      <c r="L41" s="20">
        <f t="shared" si="49"/>
        <v>0</v>
      </c>
      <c r="M41" s="20"/>
      <c r="N41" s="18"/>
      <c r="O41" s="20"/>
      <c r="P41" s="20"/>
      <c r="Q41" s="18"/>
      <c r="R41" s="20"/>
      <c r="S41" s="19"/>
      <c r="T41" s="21" t="str">
        <f t="shared" si="0"/>
        <v/>
      </c>
      <c r="U41" s="22" t="str">
        <f t="shared" si="26"/>
        <v/>
      </c>
      <c r="V41" s="22" t="str">
        <f t="shared" si="27"/>
        <v/>
      </c>
      <c r="W41" s="22" t="str">
        <f>IF(J41="","",J41/Setup!$B$14)</f>
        <v/>
      </c>
      <c r="X41" s="22" t="str">
        <f t="shared" si="28"/>
        <v/>
      </c>
      <c r="Y41" s="21" t="str">
        <f t="shared" si="29"/>
        <v/>
      </c>
      <c r="Z41" s="22" t="str">
        <f t="shared" si="30"/>
        <v/>
      </c>
      <c r="AA41" s="23" t="str">
        <f t="shared" si="31"/>
        <v/>
      </c>
      <c r="AB41" s="23" t="str">
        <f t="shared" si="32"/>
        <v/>
      </c>
      <c r="AC41" s="23" t="str">
        <f t="shared" si="33"/>
        <v/>
      </c>
      <c r="AD41" s="23" t="str">
        <f t="shared" si="34"/>
        <v/>
      </c>
      <c r="AE41" s="23" t="str">
        <f t="shared" si="35"/>
        <v/>
      </c>
      <c r="AF41" s="23" t="str">
        <f t="shared" si="36"/>
        <v/>
      </c>
      <c r="AG41" s="23" t="str">
        <f t="shared" si="37"/>
        <v/>
      </c>
      <c r="AH41" s="23" t="str">
        <f t="shared" si="38"/>
        <v/>
      </c>
      <c r="AI41" s="23" t="str">
        <f t="shared" si="39"/>
        <v/>
      </c>
      <c r="AJ41" s="23" t="str">
        <f t="shared" si="40"/>
        <v/>
      </c>
      <c r="AK41" s="23" t="str">
        <f t="shared" si="41"/>
        <v/>
      </c>
      <c r="AL41" s="23" t="str">
        <f t="shared" si="42"/>
        <v/>
      </c>
      <c r="AM41" s="23" t="str">
        <f t="shared" si="43"/>
        <v/>
      </c>
      <c r="AN41" s="23" t="str">
        <f t="shared" si="44"/>
        <v/>
      </c>
      <c r="AO41" s="23" t="str">
        <f t="shared" si="45"/>
        <v/>
      </c>
      <c r="AP41" s="24" t="str">
        <f>IF(OR(N41="",O41="",P41="",Q41="",R41="",S41=""),"",IF(AND(ABS(N41-Q41)&lt;=Setup!$B$20,ABS(O41-R41)&lt;=Setup!$B$21,ABS(P41-S41*1000)&lt;=Setup!$B$22),"OK","CHECK"))</f>
        <v/>
      </c>
      <c r="AQ41" s="24" t="str">
        <f>IF(OR(N41="",O41="",P41="",I41="",W41="",Z41=""),"",IF(AND(ABS(N41-I41)/Setup!$B$17&lt;=Setup!$B$16/100,ABS(O41-W41)/Setup!$B$18&lt;=Setup!$B$16/100,ABS(P41-Z41)/Setup!$B$19&lt;=Setup!$B$16/100),"PASS","FAIL"))</f>
        <v/>
      </c>
      <c r="AR41" s="21" t="str">
        <f t="shared" si="46"/>
        <v/>
      </c>
      <c r="AS41" s="21" t="str">
        <f t="shared" si="47"/>
        <v/>
      </c>
      <c r="AT41" s="21" t="str">
        <f t="shared" si="48"/>
        <v/>
      </c>
    </row>
    <row r="42" spans="2:46" x14ac:dyDescent="0.3">
      <c r="B42" s="17" t="s">
        <v>196</v>
      </c>
      <c r="C42" s="17" t="s">
        <v>190</v>
      </c>
      <c r="D42" s="18"/>
      <c r="E42" s="18"/>
      <c r="F42" s="18"/>
      <c r="G42" s="19"/>
      <c r="H42" s="18"/>
      <c r="I42" s="18"/>
      <c r="J42" s="20"/>
      <c r="K42" s="20"/>
      <c r="L42" s="20">
        <f t="shared" si="49"/>
        <v>0</v>
      </c>
      <c r="M42" s="20"/>
      <c r="N42" s="18"/>
      <c r="O42" s="20"/>
      <c r="P42" s="20"/>
      <c r="Q42" s="18"/>
      <c r="R42" s="20"/>
      <c r="S42" s="19"/>
      <c r="T42" s="21" t="str">
        <f t="shared" si="0"/>
        <v/>
      </c>
      <c r="U42" s="22" t="str">
        <f t="shared" si="26"/>
        <v/>
      </c>
      <c r="V42" s="22" t="str">
        <f t="shared" si="27"/>
        <v/>
      </c>
      <c r="W42" s="22" t="str">
        <f>IF(J42="","",J42/Setup!$B$14)</f>
        <v/>
      </c>
      <c r="X42" s="22" t="str">
        <f t="shared" si="28"/>
        <v/>
      </c>
      <c r="Y42" s="21" t="str">
        <f t="shared" si="29"/>
        <v/>
      </c>
      <c r="Z42" s="22" t="str">
        <f t="shared" si="30"/>
        <v/>
      </c>
      <c r="AA42" s="23" t="str">
        <f t="shared" si="31"/>
        <v/>
      </c>
      <c r="AB42" s="23" t="str">
        <f t="shared" si="32"/>
        <v/>
      </c>
      <c r="AC42" s="23" t="str">
        <f t="shared" si="33"/>
        <v/>
      </c>
      <c r="AD42" s="23" t="str">
        <f t="shared" si="34"/>
        <v/>
      </c>
      <c r="AE42" s="23" t="str">
        <f t="shared" si="35"/>
        <v/>
      </c>
      <c r="AF42" s="23" t="str">
        <f t="shared" si="36"/>
        <v/>
      </c>
      <c r="AG42" s="23" t="str">
        <f t="shared" si="37"/>
        <v/>
      </c>
      <c r="AH42" s="23" t="str">
        <f t="shared" si="38"/>
        <v/>
      </c>
      <c r="AI42" s="23" t="str">
        <f t="shared" si="39"/>
        <v/>
      </c>
      <c r="AJ42" s="23" t="str">
        <f t="shared" si="40"/>
        <v/>
      </c>
      <c r="AK42" s="23" t="str">
        <f t="shared" si="41"/>
        <v/>
      </c>
      <c r="AL42" s="23" t="str">
        <f t="shared" si="42"/>
        <v/>
      </c>
      <c r="AM42" s="23" t="str">
        <f t="shared" si="43"/>
        <v/>
      </c>
      <c r="AN42" s="23" t="str">
        <f t="shared" si="44"/>
        <v/>
      </c>
      <c r="AO42" s="23" t="str">
        <f t="shared" si="45"/>
        <v/>
      </c>
      <c r="AP42" s="24" t="str">
        <f>IF(OR(N42="",O42="",P42="",Q42="",R42="",S42=""),"",IF(AND(ABS(N42-Q42)&lt;=Setup!$B$20,ABS(O42-R42)&lt;=Setup!$B$21,ABS(P42-S42*1000)&lt;=Setup!$B$22),"OK","CHECK"))</f>
        <v/>
      </c>
      <c r="AQ42" s="24" t="str">
        <f>IF(OR(N42="",O42="",P42="",I42="",W42="",Z42=""),"",IF(AND(ABS(N42-I42)/Setup!$B$17&lt;=Setup!$B$16/100,ABS(O42-W42)/Setup!$B$18&lt;=Setup!$B$16/100,ABS(P42-Z42)/Setup!$B$19&lt;=Setup!$B$16/100),"PASS","FAIL"))</f>
        <v/>
      </c>
      <c r="AR42" s="21" t="str">
        <f t="shared" si="46"/>
        <v/>
      </c>
      <c r="AS42" s="21" t="str">
        <f t="shared" si="47"/>
        <v/>
      </c>
      <c r="AT42" s="21" t="str">
        <f t="shared" si="48"/>
        <v/>
      </c>
    </row>
    <row r="43" spans="2:46" x14ac:dyDescent="0.3">
      <c r="B43" s="17" t="s">
        <v>197</v>
      </c>
      <c r="C43" s="17" t="s">
        <v>184</v>
      </c>
      <c r="D43" s="18"/>
      <c r="E43" s="18"/>
      <c r="F43" s="18"/>
      <c r="G43" s="19"/>
      <c r="H43" s="18"/>
      <c r="I43" s="18"/>
      <c r="J43" s="20"/>
      <c r="K43" s="20"/>
      <c r="L43" s="20">
        <f t="shared" si="49"/>
        <v>0</v>
      </c>
      <c r="M43" s="20"/>
      <c r="N43" s="18"/>
      <c r="O43" s="20"/>
      <c r="P43" s="20"/>
      <c r="Q43" s="18"/>
      <c r="R43" s="20"/>
      <c r="S43" s="19"/>
      <c r="T43" s="21" t="str">
        <f t="shared" si="0"/>
        <v/>
      </c>
      <c r="U43" s="22" t="str">
        <f t="shared" si="26"/>
        <v/>
      </c>
      <c r="V43" s="22" t="str">
        <f t="shared" si="27"/>
        <v/>
      </c>
      <c r="W43" s="22" t="str">
        <f>IF(J43="","",J43/Setup!$B$14)</f>
        <v/>
      </c>
      <c r="X43" s="22" t="str">
        <f t="shared" si="28"/>
        <v/>
      </c>
      <c r="Y43" s="21" t="str">
        <f t="shared" si="29"/>
        <v/>
      </c>
      <c r="Z43" s="22" t="str">
        <f t="shared" si="30"/>
        <v/>
      </c>
      <c r="AA43" s="23" t="str">
        <f t="shared" si="31"/>
        <v/>
      </c>
      <c r="AB43" s="23" t="str">
        <f t="shared" si="32"/>
        <v/>
      </c>
      <c r="AC43" s="23" t="str">
        <f t="shared" si="33"/>
        <v/>
      </c>
      <c r="AD43" s="23" t="str">
        <f t="shared" si="34"/>
        <v/>
      </c>
      <c r="AE43" s="23" t="str">
        <f t="shared" si="35"/>
        <v/>
      </c>
      <c r="AF43" s="23" t="str">
        <f t="shared" si="36"/>
        <v/>
      </c>
      <c r="AG43" s="23" t="str">
        <f t="shared" si="37"/>
        <v/>
      </c>
      <c r="AH43" s="23" t="str">
        <f t="shared" si="38"/>
        <v/>
      </c>
      <c r="AI43" s="23" t="str">
        <f t="shared" si="39"/>
        <v/>
      </c>
      <c r="AJ43" s="23" t="str">
        <f t="shared" si="40"/>
        <v/>
      </c>
      <c r="AK43" s="23" t="str">
        <f t="shared" si="41"/>
        <v/>
      </c>
      <c r="AL43" s="23" t="str">
        <f t="shared" si="42"/>
        <v/>
      </c>
      <c r="AM43" s="23" t="str">
        <f t="shared" si="43"/>
        <v/>
      </c>
      <c r="AN43" s="23" t="str">
        <f t="shared" si="44"/>
        <v/>
      </c>
      <c r="AO43" s="23" t="str">
        <f t="shared" si="45"/>
        <v/>
      </c>
      <c r="AP43" s="24" t="str">
        <f>IF(OR(N43="",O43="",P43="",Q43="",R43="",S43=""),"",IF(AND(ABS(N43-Q43)&lt;=Setup!$B$20,ABS(O43-R43)&lt;=Setup!$B$21,ABS(P43-S43*1000)&lt;=Setup!$B$22),"OK","CHECK"))</f>
        <v/>
      </c>
      <c r="AQ43" s="24" t="str">
        <f>IF(OR(N43="",O43="",P43="",I43="",W43="",Z43=""),"",IF(AND(ABS(N43-I43)/Setup!$B$17&lt;=Setup!$B$16/100,ABS(O43-W43)/Setup!$B$18&lt;=Setup!$B$16/100,ABS(P43-Z43)/Setup!$B$19&lt;=Setup!$B$16/100),"PASS","FAIL"))</f>
        <v/>
      </c>
      <c r="AR43" s="21" t="str">
        <f t="shared" si="46"/>
        <v/>
      </c>
      <c r="AS43" s="21" t="str">
        <f t="shared" si="47"/>
        <v/>
      </c>
      <c r="AT43" s="21" t="str">
        <f t="shared" si="48"/>
        <v/>
      </c>
    </row>
    <row r="44" spans="2:46" x14ac:dyDescent="0.3">
      <c r="B44" s="17" t="s">
        <v>197</v>
      </c>
      <c r="C44" s="17" t="s">
        <v>188</v>
      </c>
      <c r="D44" s="18"/>
      <c r="E44" s="18"/>
      <c r="F44" s="18"/>
      <c r="G44" s="19"/>
      <c r="H44" s="18"/>
      <c r="I44" s="18"/>
      <c r="J44" s="20"/>
      <c r="K44" s="20"/>
      <c r="L44" s="20">
        <f t="shared" si="49"/>
        <v>0</v>
      </c>
      <c r="M44" s="20"/>
      <c r="N44" s="18"/>
      <c r="O44" s="20"/>
      <c r="P44" s="20"/>
      <c r="Q44" s="18"/>
      <c r="R44" s="20"/>
      <c r="S44" s="19"/>
      <c r="T44" s="21" t="str">
        <f t="shared" si="0"/>
        <v/>
      </c>
      <c r="U44" s="22" t="str">
        <f t="shared" si="26"/>
        <v/>
      </c>
      <c r="V44" s="22" t="str">
        <f t="shared" si="27"/>
        <v/>
      </c>
      <c r="W44" s="22" t="str">
        <f>IF(J44="","",J44/Setup!$B$14)</f>
        <v/>
      </c>
      <c r="X44" s="22" t="str">
        <f t="shared" si="28"/>
        <v/>
      </c>
      <c r="Y44" s="21" t="str">
        <f t="shared" si="29"/>
        <v/>
      </c>
      <c r="Z44" s="22" t="str">
        <f t="shared" si="30"/>
        <v/>
      </c>
      <c r="AA44" s="23" t="str">
        <f t="shared" si="31"/>
        <v/>
      </c>
      <c r="AB44" s="23" t="str">
        <f t="shared" si="32"/>
        <v/>
      </c>
      <c r="AC44" s="23" t="str">
        <f t="shared" si="33"/>
        <v/>
      </c>
      <c r="AD44" s="23" t="str">
        <f t="shared" si="34"/>
        <v/>
      </c>
      <c r="AE44" s="23" t="str">
        <f t="shared" si="35"/>
        <v/>
      </c>
      <c r="AF44" s="23" t="str">
        <f t="shared" si="36"/>
        <v/>
      </c>
      <c r="AG44" s="23" t="str">
        <f t="shared" si="37"/>
        <v/>
      </c>
      <c r="AH44" s="23" t="str">
        <f t="shared" si="38"/>
        <v/>
      </c>
      <c r="AI44" s="23" t="str">
        <f t="shared" si="39"/>
        <v/>
      </c>
      <c r="AJ44" s="23" t="str">
        <f t="shared" si="40"/>
        <v/>
      </c>
      <c r="AK44" s="23" t="str">
        <f t="shared" si="41"/>
        <v/>
      </c>
      <c r="AL44" s="23" t="str">
        <f t="shared" si="42"/>
        <v/>
      </c>
      <c r="AM44" s="23" t="str">
        <f t="shared" si="43"/>
        <v/>
      </c>
      <c r="AN44" s="23" t="str">
        <f t="shared" si="44"/>
        <v/>
      </c>
      <c r="AO44" s="23" t="str">
        <f t="shared" si="45"/>
        <v/>
      </c>
      <c r="AP44" s="24" t="str">
        <f>IF(OR(N44="",O44="",P44="",Q44="",R44="",S44=""),"",IF(AND(ABS(N44-Q44)&lt;=Setup!$B$20,ABS(O44-R44)&lt;=Setup!$B$21,ABS(P44-S44*1000)&lt;=Setup!$B$22),"OK","CHECK"))</f>
        <v/>
      </c>
      <c r="AQ44" s="24" t="str">
        <f>IF(OR(N44="",O44="",P44="",I44="",W44="",Z44=""),"",IF(AND(ABS(N44-I44)/Setup!$B$17&lt;=Setup!$B$16/100,ABS(O44-W44)/Setup!$B$18&lt;=Setup!$B$16/100,ABS(P44-Z44)/Setup!$B$19&lt;=Setup!$B$16/100),"PASS","FAIL"))</f>
        <v/>
      </c>
      <c r="AR44" s="21" t="str">
        <f t="shared" si="46"/>
        <v/>
      </c>
      <c r="AS44" s="21" t="str">
        <f t="shared" si="47"/>
        <v/>
      </c>
      <c r="AT44" s="21" t="str">
        <f t="shared" si="48"/>
        <v/>
      </c>
    </row>
    <row r="45" spans="2:46" x14ac:dyDescent="0.3">
      <c r="B45" s="17" t="s">
        <v>197</v>
      </c>
      <c r="C45" s="17" t="s">
        <v>190</v>
      </c>
      <c r="D45" s="18"/>
      <c r="E45" s="18"/>
      <c r="F45" s="18"/>
      <c r="G45" s="19"/>
      <c r="H45" s="18"/>
      <c r="I45" s="18"/>
      <c r="J45" s="20"/>
      <c r="K45" s="20"/>
      <c r="L45" s="20">
        <f t="shared" si="49"/>
        <v>0</v>
      </c>
      <c r="M45" s="20"/>
      <c r="N45" s="18"/>
      <c r="O45" s="20"/>
      <c r="P45" s="20"/>
      <c r="Q45" s="18"/>
      <c r="R45" s="20"/>
      <c r="S45" s="19"/>
      <c r="T45" s="21" t="str">
        <f t="shared" si="0"/>
        <v/>
      </c>
      <c r="U45" s="22" t="str">
        <f t="shared" si="26"/>
        <v/>
      </c>
      <c r="V45" s="22" t="str">
        <f t="shared" si="27"/>
        <v/>
      </c>
      <c r="W45" s="22" t="str">
        <f>IF(J45="","",J45/Setup!$B$14)</f>
        <v/>
      </c>
      <c r="X45" s="22" t="str">
        <f t="shared" si="28"/>
        <v/>
      </c>
      <c r="Y45" s="21" t="str">
        <f t="shared" si="29"/>
        <v/>
      </c>
      <c r="Z45" s="22" t="str">
        <f t="shared" si="30"/>
        <v/>
      </c>
      <c r="AA45" s="23" t="str">
        <f t="shared" si="31"/>
        <v/>
      </c>
      <c r="AB45" s="23" t="str">
        <f t="shared" si="32"/>
        <v/>
      </c>
      <c r="AC45" s="23" t="str">
        <f t="shared" si="33"/>
        <v/>
      </c>
      <c r="AD45" s="23" t="str">
        <f t="shared" si="34"/>
        <v/>
      </c>
      <c r="AE45" s="23" t="str">
        <f t="shared" si="35"/>
        <v/>
      </c>
      <c r="AF45" s="23" t="str">
        <f t="shared" si="36"/>
        <v/>
      </c>
      <c r="AG45" s="23" t="str">
        <f t="shared" si="37"/>
        <v/>
      </c>
      <c r="AH45" s="23" t="str">
        <f t="shared" si="38"/>
        <v/>
      </c>
      <c r="AI45" s="23" t="str">
        <f t="shared" si="39"/>
        <v/>
      </c>
      <c r="AJ45" s="23" t="str">
        <f t="shared" si="40"/>
        <v/>
      </c>
      <c r="AK45" s="23" t="str">
        <f t="shared" si="41"/>
        <v/>
      </c>
      <c r="AL45" s="23" t="str">
        <f t="shared" si="42"/>
        <v/>
      </c>
      <c r="AM45" s="23" t="str">
        <f t="shared" si="43"/>
        <v/>
      </c>
      <c r="AN45" s="23" t="str">
        <f t="shared" si="44"/>
        <v/>
      </c>
      <c r="AO45" s="23" t="str">
        <f t="shared" si="45"/>
        <v/>
      </c>
      <c r="AP45" s="24" t="str">
        <f>IF(OR(N45="",O45="",P45="",Q45="",R45="",S45=""),"",IF(AND(ABS(N45-Q45)&lt;=Setup!$B$20,ABS(O45-R45)&lt;=Setup!$B$21,ABS(P45-S45*1000)&lt;=Setup!$B$22),"OK","CHECK"))</f>
        <v/>
      </c>
      <c r="AQ45" s="24" t="str">
        <f>IF(OR(N45="",O45="",P45="",I45="",W45="",Z45=""),"",IF(AND(ABS(N45-I45)/Setup!$B$17&lt;=Setup!$B$16/100,ABS(O45-W45)/Setup!$B$18&lt;=Setup!$B$16/100,ABS(P45-Z45)/Setup!$B$19&lt;=Setup!$B$16/100),"PASS","FAIL"))</f>
        <v/>
      </c>
      <c r="AR45" s="21" t="str">
        <f t="shared" si="46"/>
        <v/>
      </c>
      <c r="AS45" s="21" t="str">
        <f t="shared" si="47"/>
        <v/>
      </c>
      <c r="AT45" s="21" t="str">
        <f t="shared" si="48"/>
        <v/>
      </c>
    </row>
    <row r="46" spans="2:46" x14ac:dyDescent="0.3">
      <c r="B46" s="17" t="s">
        <v>198</v>
      </c>
      <c r="C46" s="17"/>
      <c r="D46" s="18"/>
      <c r="E46" s="18"/>
      <c r="F46" s="18"/>
      <c r="G46" s="19"/>
      <c r="H46" s="18"/>
      <c r="I46" s="18"/>
      <c r="J46" s="20"/>
      <c r="K46" s="20"/>
      <c r="L46" s="20">
        <f t="shared" si="49"/>
        <v>0</v>
      </c>
      <c r="M46" s="20"/>
      <c r="N46" s="18"/>
      <c r="O46" s="20"/>
      <c r="P46" s="20"/>
      <c r="Q46" s="18"/>
      <c r="R46" s="20"/>
      <c r="S46" s="19"/>
      <c r="T46" s="21" t="str">
        <f t="shared" si="0"/>
        <v/>
      </c>
      <c r="U46" s="22" t="str">
        <f t="shared" si="26"/>
        <v/>
      </c>
      <c r="V46" s="22" t="str">
        <f t="shared" si="27"/>
        <v/>
      </c>
      <c r="W46" s="22" t="str">
        <f>IF(J46="","",J46/Setup!$B$14)</f>
        <v/>
      </c>
      <c r="X46" s="22" t="str">
        <f t="shared" si="28"/>
        <v/>
      </c>
      <c r="Y46" s="21" t="str">
        <f t="shared" si="29"/>
        <v/>
      </c>
      <c r="Z46" s="22" t="str">
        <f t="shared" si="30"/>
        <v/>
      </c>
      <c r="AA46" s="23" t="str">
        <f t="shared" si="31"/>
        <v/>
      </c>
      <c r="AB46" s="23" t="str">
        <f t="shared" si="32"/>
        <v/>
      </c>
      <c r="AC46" s="23" t="str">
        <f t="shared" si="33"/>
        <v/>
      </c>
      <c r="AD46" s="23" t="str">
        <f t="shared" si="34"/>
        <v/>
      </c>
      <c r="AE46" s="23" t="str">
        <f t="shared" si="35"/>
        <v/>
      </c>
      <c r="AF46" s="23" t="str">
        <f t="shared" si="36"/>
        <v/>
      </c>
      <c r="AG46" s="23" t="str">
        <f t="shared" si="37"/>
        <v/>
      </c>
      <c r="AH46" s="23" t="str">
        <f t="shared" si="38"/>
        <v/>
      </c>
      <c r="AI46" s="23" t="str">
        <f t="shared" si="39"/>
        <v/>
      </c>
      <c r="AJ46" s="23" t="str">
        <f t="shared" si="40"/>
        <v/>
      </c>
      <c r="AK46" s="23" t="str">
        <f t="shared" si="41"/>
        <v/>
      </c>
      <c r="AL46" s="23" t="str">
        <f t="shared" si="42"/>
        <v/>
      </c>
      <c r="AM46" s="23" t="str">
        <f t="shared" si="43"/>
        <v/>
      </c>
      <c r="AN46" s="23" t="str">
        <f t="shared" si="44"/>
        <v/>
      </c>
      <c r="AO46" s="23" t="str">
        <f t="shared" si="45"/>
        <v/>
      </c>
      <c r="AP46" s="24" t="str">
        <f>IF(OR(N46="",O46="",P46="",Q46="",R46="",S46=""),"",IF(AND(ABS(N46-Q46)&lt;=Setup!$B$20,ABS(O46-R46)&lt;=Setup!$B$21,ABS(P46-S46*1000)&lt;=Setup!$B$22),"OK","CHECK"))</f>
        <v/>
      </c>
      <c r="AQ46" s="24" t="str">
        <f>IF(OR(N46="",O46="",P46="",I46="",W46="",Z46=""),"",IF(AND(ABS(N46-I46)/Setup!$B$17&lt;=Setup!$B$16/100,ABS(O46-W46)/Setup!$B$18&lt;=Setup!$B$16/100,ABS(P46-Z46)/Setup!$B$19&lt;=Setup!$B$16/100),"PASS","FAIL"))</f>
        <v/>
      </c>
      <c r="AR46" s="21" t="str">
        <f t="shared" si="46"/>
        <v/>
      </c>
      <c r="AS46" s="21" t="str">
        <f t="shared" si="47"/>
        <v/>
      </c>
      <c r="AT46" s="21" t="str">
        <f t="shared" si="48"/>
        <v/>
      </c>
    </row>
    <row r="47" spans="2:46" x14ac:dyDescent="0.3">
      <c r="B47" s="17" t="s">
        <v>198</v>
      </c>
      <c r="C47" s="17"/>
      <c r="D47" s="18"/>
      <c r="E47" s="18"/>
      <c r="F47" s="18"/>
      <c r="G47" s="19"/>
      <c r="H47" s="18"/>
      <c r="I47" s="18"/>
      <c r="J47" s="20"/>
      <c r="K47" s="20"/>
      <c r="L47" s="20">
        <f t="shared" si="49"/>
        <v>0</v>
      </c>
      <c r="M47" s="20"/>
      <c r="N47" s="18"/>
      <c r="O47" s="20"/>
      <c r="P47" s="20"/>
      <c r="Q47" s="18"/>
      <c r="R47" s="20"/>
      <c r="S47" s="19"/>
      <c r="T47" s="21" t="str">
        <f t="shared" si="0"/>
        <v/>
      </c>
      <c r="U47" s="22" t="str">
        <f t="shared" si="26"/>
        <v/>
      </c>
      <c r="V47" s="22" t="str">
        <f t="shared" si="27"/>
        <v/>
      </c>
      <c r="W47" s="22" t="str">
        <f>IF(J47="","",J47/Setup!$B$14)</f>
        <v/>
      </c>
      <c r="X47" s="22" t="str">
        <f t="shared" si="28"/>
        <v/>
      </c>
      <c r="Y47" s="21" t="str">
        <f t="shared" si="29"/>
        <v/>
      </c>
      <c r="Z47" s="22" t="str">
        <f t="shared" si="30"/>
        <v/>
      </c>
      <c r="AA47" s="23" t="str">
        <f t="shared" si="31"/>
        <v/>
      </c>
      <c r="AB47" s="23" t="str">
        <f t="shared" si="32"/>
        <v/>
      </c>
      <c r="AC47" s="23" t="str">
        <f t="shared" si="33"/>
        <v/>
      </c>
      <c r="AD47" s="23" t="str">
        <f t="shared" si="34"/>
        <v/>
      </c>
      <c r="AE47" s="23" t="str">
        <f t="shared" si="35"/>
        <v/>
      </c>
      <c r="AF47" s="23" t="str">
        <f t="shared" si="36"/>
        <v/>
      </c>
      <c r="AG47" s="23" t="str">
        <f t="shared" si="37"/>
        <v/>
      </c>
      <c r="AH47" s="23" t="str">
        <f t="shared" si="38"/>
        <v/>
      </c>
      <c r="AI47" s="23" t="str">
        <f t="shared" si="39"/>
        <v/>
      </c>
      <c r="AJ47" s="23" t="str">
        <f t="shared" si="40"/>
        <v/>
      </c>
      <c r="AK47" s="23" t="str">
        <f t="shared" si="41"/>
        <v/>
      </c>
      <c r="AL47" s="23" t="str">
        <f t="shared" si="42"/>
        <v/>
      </c>
      <c r="AM47" s="23" t="str">
        <f t="shared" si="43"/>
        <v/>
      </c>
      <c r="AN47" s="23" t="str">
        <f t="shared" si="44"/>
        <v/>
      </c>
      <c r="AO47" s="23" t="str">
        <f t="shared" si="45"/>
        <v/>
      </c>
      <c r="AP47" s="24" t="str">
        <f>IF(OR(N47="",O47="",P47="",Q47="",R47="",S47=""),"",IF(AND(ABS(N47-Q47)&lt;=Setup!$B$20,ABS(O47-R47)&lt;=Setup!$B$21,ABS(P47-S47*1000)&lt;=Setup!$B$22),"OK","CHECK"))</f>
        <v/>
      </c>
      <c r="AQ47" s="24" t="str">
        <f>IF(OR(N47="",O47="",P47="",I47="",W47="",Z47=""),"",IF(AND(ABS(N47-I47)/Setup!$B$17&lt;=Setup!$B$16/100,ABS(O47-W47)/Setup!$B$18&lt;=Setup!$B$16/100,ABS(P47-Z47)/Setup!$B$19&lt;=Setup!$B$16/100),"PASS","FAIL"))</f>
        <v/>
      </c>
      <c r="AR47" s="21" t="str">
        <f t="shared" si="46"/>
        <v/>
      </c>
      <c r="AS47" s="21" t="str">
        <f t="shared" si="47"/>
        <v/>
      </c>
      <c r="AT47" s="21" t="str">
        <f t="shared" si="48"/>
        <v/>
      </c>
    </row>
  </sheetData>
  <mergeCells count="9">
    <mergeCell ref="W4:Z4"/>
    <mergeCell ref="AA4:AO4"/>
    <mergeCell ref="AP4:AQ4"/>
    <mergeCell ref="AR4:AT4"/>
    <mergeCell ref="A4:H4"/>
    <mergeCell ref="I4:M4"/>
    <mergeCell ref="N4:P4"/>
    <mergeCell ref="Q4:S4"/>
    <mergeCell ref="T4:V4"/>
  </mergeCells>
  <conditionalFormatting sqref="AP7:AP26">
    <cfRule type="cellIs" dxfId="13" priority="12" operator="equal">
      <formula>"OK"</formula>
    </cfRule>
    <cfRule type="cellIs" dxfId="12" priority="13" operator="equal">
      <formula>"CHECK"</formula>
    </cfRule>
  </conditionalFormatting>
  <conditionalFormatting sqref="AQ7:AQ26">
    <cfRule type="cellIs" dxfId="11" priority="10" operator="equal">
      <formula>"PASS"</formula>
    </cfRule>
    <cfRule type="cellIs" dxfId="10" priority="11" operator="equal">
      <formula>"FAIL"</formula>
    </cfRule>
  </conditionalFormatting>
  <conditionalFormatting sqref="AP28:AP47">
    <cfRule type="cellIs" dxfId="5" priority="3" operator="equal">
      <formula>"OK"</formula>
    </cfRule>
    <cfRule type="cellIs" dxfId="4" priority="4" operator="equal">
      <formula>"CHECK"</formula>
    </cfRule>
  </conditionalFormatting>
  <conditionalFormatting sqref="AQ28:AQ47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7" customWidth="1"/>
    <col min="2" max="2" width="30" customWidth="1"/>
    <col min="3" max="3" width="14" customWidth="1"/>
    <col min="4" max="4" width="11" customWidth="1"/>
    <col min="5" max="6" width="14" customWidth="1"/>
    <col min="7" max="8" width="12" customWidth="1"/>
    <col min="9" max="9" width="10" customWidth="1"/>
    <col min="10" max="10" width="16" customWidth="1"/>
    <col min="11" max="11" width="10" customWidth="1"/>
  </cols>
  <sheetData>
    <row r="1" spans="1:11" ht="17.399999999999999" x14ac:dyDescent="0.3">
      <c r="A1" s="1" t="s">
        <v>142</v>
      </c>
    </row>
    <row r="2" spans="1:11" x14ac:dyDescent="0.3">
      <c r="A2" s="2" t="s">
        <v>143</v>
      </c>
    </row>
    <row r="5" spans="1:11" ht="43.5" customHeight="1" x14ac:dyDescent="0.3">
      <c r="A5" s="12" t="s">
        <v>99</v>
      </c>
      <c r="B5" s="12" t="s">
        <v>100</v>
      </c>
      <c r="C5" s="12" t="s">
        <v>144</v>
      </c>
      <c r="D5" s="12" t="s">
        <v>145</v>
      </c>
      <c r="E5" s="12" t="s">
        <v>146</v>
      </c>
      <c r="F5" s="12" t="s">
        <v>147</v>
      </c>
      <c r="G5" s="15" t="s">
        <v>148</v>
      </c>
      <c r="H5" s="15" t="s">
        <v>149</v>
      </c>
      <c r="I5" s="15" t="s">
        <v>150</v>
      </c>
      <c r="J5" s="15" t="s">
        <v>151</v>
      </c>
      <c r="K5" s="15" t="s">
        <v>152</v>
      </c>
    </row>
    <row r="6" spans="1:11" x14ac:dyDescent="0.3">
      <c r="A6" s="16">
        <v>1</v>
      </c>
      <c r="B6" s="17" t="s">
        <v>153</v>
      </c>
      <c r="C6" s="25">
        <v>4000</v>
      </c>
      <c r="D6" s="25">
        <v>600</v>
      </c>
      <c r="E6" s="17">
        <v>120</v>
      </c>
      <c r="F6" s="17">
        <v>780</v>
      </c>
      <c r="G6" s="22">
        <f t="shared" ref="G6:G15" si="0">IF(OR(C6="",D6=""),"",C6*D6/3600)</f>
        <v>666.66666666666663</v>
      </c>
      <c r="H6" s="26">
        <f t="shared" ref="H6:H15" si="1">IF(OR(E6="",F6=""),"",F6-E6)</f>
        <v>660</v>
      </c>
      <c r="I6" s="23">
        <f t="shared" ref="I6:I15" si="2">IF(OR(G6="",H6="",G6=0),"",(H6-G6)/G6)</f>
        <v>-9.999999999999943E-3</v>
      </c>
      <c r="J6" s="23">
        <f t="shared" ref="J6:J15" si="3">IF(OR(G6="",G6=0),"",1/G6)</f>
        <v>1.5E-3</v>
      </c>
      <c r="K6" s="27" t="str">
        <f>IF(OR(G6="",H6=""),"",IF(ABS(H6-G6)&lt;=1+Setup!$B$16/100*G6,"PASS","FAIL"))</f>
        <v>PASS</v>
      </c>
    </row>
    <row r="7" spans="1:11" x14ac:dyDescent="0.3">
      <c r="A7" s="16">
        <v>2</v>
      </c>
      <c r="B7" s="17"/>
      <c r="C7" s="25"/>
      <c r="D7" s="25"/>
      <c r="E7" s="17"/>
      <c r="F7" s="17"/>
      <c r="G7" s="22" t="str">
        <f t="shared" si="0"/>
        <v/>
      </c>
      <c r="H7" s="26" t="str">
        <f t="shared" si="1"/>
        <v/>
      </c>
      <c r="I7" s="23" t="str">
        <f t="shared" si="2"/>
        <v/>
      </c>
      <c r="J7" s="23" t="str">
        <f t="shared" si="3"/>
        <v/>
      </c>
      <c r="K7" s="27" t="str">
        <f>IF(OR(G7="",H7=""),"",IF(ABS(H7-G7)&lt;=1+Setup!$B$16/100*G7,"PASS","FAIL"))</f>
        <v/>
      </c>
    </row>
    <row r="8" spans="1:11" x14ac:dyDescent="0.3">
      <c r="A8" s="16">
        <v>3</v>
      </c>
      <c r="B8" s="17"/>
      <c r="C8" s="25"/>
      <c r="D8" s="25"/>
      <c r="E8" s="17"/>
      <c r="F8" s="17"/>
      <c r="G8" s="22" t="str">
        <f t="shared" si="0"/>
        <v/>
      </c>
      <c r="H8" s="26" t="str">
        <f t="shared" si="1"/>
        <v/>
      </c>
      <c r="I8" s="23" t="str">
        <f t="shared" si="2"/>
        <v/>
      </c>
      <c r="J8" s="23" t="str">
        <f t="shared" si="3"/>
        <v/>
      </c>
      <c r="K8" s="27" t="str">
        <f>IF(OR(G8="",H8=""),"",IF(ABS(H8-G8)&lt;=1+Setup!$B$16/100*G8,"PASS","FAIL"))</f>
        <v/>
      </c>
    </row>
    <row r="9" spans="1:11" x14ac:dyDescent="0.3">
      <c r="A9" s="16">
        <v>4</v>
      </c>
      <c r="B9" s="17"/>
      <c r="C9" s="25"/>
      <c r="D9" s="25"/>
      <c r="E9" s="17"/>
      <c r="F9" s="17"/>
      <c r="G9" s="22" t="str">
        <f t="shared" si="0"/>
        <v/>
      </c>
      <c r="H9" s="26" t="str">
        <f t="shared" si="1"/>
        <v/>
      </c>
      <c r="I9" s="23" t="str">
        <f t="shared" si="2"/>
        <v/>
      </c>
      <c r="J9" s="23" t="str">
        <f t="shared" si="3"/>
        <v/>
      </c>
      <c r="K9" s="27" t="str">
        <f>IF(OR(G9="",H9=""),"",IF(ABS(H9-G9)&lt;=1+Setup!$B$16/100*G9,"PASS","FAIL"))</f>
        <v/>
      </c>
    </row>
    <row r="10" spans="1:11" x14ac:dyDescent="0.3">
      <c r="A10" s="16">
        <v>5</v>
      </c>
      <c r="B10" s="17"/>
      <c r="C10" s="25"/>
      <c r="D10" s="25"/>
      <c r="E10" s="17"/>
      <c r="F10" s="17"/>
      <c r="G10" s="22" t="str">
        <f t="shared" si="0"/>
        <v/>
      </c>
      <c r="H10" s="26" t="str">
        <f t="shared" si="1"/>
        <v/>
      </c>
      <c r="I10" s="23" t="str">
        <f t="shared" si="2"/>
        <v/>
      </c>
      <c r="J10" s="23" t="str">
        <f t="shared" si="3"/>
        <v/>
      </c>
      <c r="K10" s="27" t="str">
        <f>IF(OR(G10="",H10=""),"",IF(ABS(H10-G10)&lt;=1+Setup!$B$16/100*G10,"PASS","FAIL"))</f>
        <v/>
      </c>
    </row>
    <row r="11" spans="1:11" x14ac:dyDescent="0.3">
      <c r="A11" s="16">
        <v>6</v>
      </c>
      <c r="B11" s="17"/>
      <c r="C11" s="25"/>
      <c r="D11" s="25"/>
      <c r="E11" s="17"/>
      <c r="F11" s="17"/>
      <c r="G11" s="22" t="str">
        <f t="shared" si="0"/>
        <v/>
      </c>
      <c r="H11" s="26" t="str">
        <f t="shared" si="1"/>
        <v/>
      </c>
      <c r="I11" s="23" t="str">
        <f t="shared" si="2"/>
        <v/>
      </c>
      <c r="J11" s="23" t="str">
        <f t="shared" si="3"/>
        <v/>
      </c>
      <c r="K11" s="27" t="str">
        <f>IF(OR(G11="",H11=""),"",IF(ABS(H11-G11)&lt;=1+Setup!$B$16/100*G11,"PASS","FAIL"))</f>
        <v/>
      </c>
    </row>
    <row r="12" spans="1:11" x14ac:dyDescent="0.3">
      <c r="A12" s="16">
        <v>7</v>
      </c>
      <c r="B12" s="17"/>
      <c r="C12" s="25"/>
      <c r="D12" s="25"/>
      <c r="E12" s="17"/>
      <c r="F12" s="17"/>
      <c r="G12" s="22" t="str">
        <f t="shared" si="0"/>
        <v/>
      </c>
      <c r="H12" s="26" t="str">
        <f t="shared" si="1"/>
        <v/>
      </c>
      <c r="I12" s="23" t="str">
        <f t="shared" si="2"/>
        <v/>
      </c>
      <c r="J12" s="23" t="str">
        <f t="shared" si="3"/>
        <v/>
      </c>
      <c r="K12" s="27" t="str">
        <f>IF(OR(G12="",H12=""),"",IF(ABS(H12-G12)&lt;=1+Setup!$B$16/100*G12,"PASS","FAIL"))</f>
        <v/>
      </c>
    </row>
    <row r="13" spans="1:11" x14ac:dyDescent="0.3">
      <c r="A13" s="16">
        <v>8</v>
      </c>
      <c r="B13" s="17"/>
      <c r="C13" s="25"/>
      <c r="D13" s="25"/>
      <c r="E13" s="17"/>
      <c r="F13" s="17"/>
      <c r="G13" s="22" t="str">
        <f t="shared" si="0"/>
        <v/>
      </c>
      <c r="H13" s="26" t="str">
        <f t="shared" si="1"/>
        <v/>
      </c>
      <c r="I13" s="23" t="str">
        <f t="shared" si="2"/>
        <v/>
      </c>
      <c r="J13" s="23" t="str">
        <f t="shared" si="3"/>
        <v/>
      </c>
      <c r="K13" s="27" t="str">
        <f>IF(OR(G13="",H13=""),"",IF(ABS(H13-G13)&lt;=1+Setup!$B$16/100*G13,"PASS","FAIL"))</f>
        <v/>
      </c>
    </row>
    <row r="14" spans="1:11" x14ac:dyDescent="0.3">
      <c r="A14" s="16">
        <v>9</v>
      </c>
      <c r="B14" s="17"/>
      <c r="C14" s="25"/>
      <c r="D14" s="25"/>
      <c r="E14" s="17"/>
      <c r="F14" s="17"/>
      <c r="G14" s="22" t="str">
        <f t="shared" si="0"/>
        <v/>
      </c>
      <c r="H14" s="26" t="str">
        <f t="shared" si="1"/>
        <v/>
      </c>
      <c r="I14" s="23" t="str">
        <f t="shared" si="2"/>
        <v/>
      </c>
      <c r="J14" s="23" t="str">
        <f t="shared" si="3"/>
        <v/>
      </c>
      <c r="K14" s="27" t="str">
        <f>IF(OR(G14="",H14=""),"",IF(ABS(H14-G14)&lt;=1+Setup!$B$16/100*G14,"PASS","FAIL"))</f>
        <v/>
      </c>
    </row>
    <row r="15" spans="1:11" x14ac:dyDescent="0.3">
      <c r="A15" s="16">
        <v>10</v>
      </c>
      <c r="B15" s="17"/>
      <c r="C15" s="25"/>
      <c r="D15" s="25"/>
      <c r="E15" s="17"/>
      <c r="F15" s="17"/>
      <c r="G15" s="22" t="str">
        <f t="shared" si="0"/>
        <v/>
      </c>
      <c r="H15" s="26" t="str">
        <f t="shared" si="1"/>
        <v/>
      </c>
      <c r="I15" s="23" t="str">
        <f t="shared" si="2"/>
        <v/>
      </c>
      <c r="J15" s="23" t="str">
        <f t="shared" si="3"/>
        <v/>
      </c>
      <c r="K15" s="27" t="str">
        <f>IF(OR(G15="",H15=""),"",IF(ABS(H15-G15)&lt;=1+Setup!$B$16/100*G15,"PASS","FAIL"))</f>
        <v/>
      </c>
    </row>
    <row r="17" spans="1:1" x14ac:dyDescent="0.3">
      <c r="A17" s="2" t="s">
        <v>154</v>
      </c>
    </row>
  </sheetData>
  <conditionalFormatting sqref="K6:K15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8" customWidth="1"/>
    <col min="3" max="4" width="20" customWidth="1"/>
    <col min="5" max="5" width="12" customWidth="1"/>
  </cols>
  <sheetData>
    <row r="1" spans="1:5" ht="17.399999999999999" x14ac:dyDescent="0.3">
      <c r="A1" s="1" t="s">
        <v>155</v>
      </c>
    </row>
    <row r="2" spans="1:5" x14ac:dyDescent="0.3">
      <c r="A2" s="2" t="s">
        <v>156</v>
      </c>
    </row>
    <row r="4" spans="1:5" x14ac:dyDescent="0.3">
      <c r="A4" s="4" t="s">
        <v>157</v>
      </c>
      <c r="B4" s="4"/>
      <c r="C4" s="4"/>
      <c r="D4" s="4"/>
      <c r="E4" s="4"/>
    </row>
    <row r="5" spans="1:5" x14ac:dyDescent="0.3">
      <c r="A5" s="5" t="s">
        <v>158</v>
      </c>
      <c r="B5" s="5" t="s">
        <v>159</v>
      </c>
      <c r="C5" s="5" t="s">
        <v>160</v>
      </c>
      <c r="D5" s="5" t="s">
        <v>161</v>
      </c>
      <c r="E5" s="5" t="s">
        <v>162</v>
      </c>
    </row>
    <row r="6" spans="1:5" x14ac:dyDescent="0.3">
      <c r="A6" s="28" t="s">
        <v>163</v>
      </c>
      <c r="B6" s="28" t="s">
        <v>164</v>
      </c>
      <c r="C6" s="29">
        <f>IF(COUNT('Calibration Log'!AA7:AA26)=0,"n/a",AVERAGE('Calibration Log'!AA7:AA26))</f>
        <v>1.0365636245649673E-2</v>
      </c>
      <c r="D6" s="29">
        <f>IF(COUNT('Calibration Log'!AA7:AA26)=0,"n/a",MAX(MAX('Calibration Log'!AA7:AA26),-MIN('Calibration Log'!AA7:AA26)))</f>
        <v>1.7872886110443131E-2</v>
      </c>
      <c r="E6" s="28">
        <f>COUNT('Calibration Log'!AA7:AA26)</f>
        <v>12</v>
      </c>
    </row>
    <row r="7" spans="1:5" x14ac:dyDescent="0.3">
      <c r="A7" s="28" t="s">
        <v>163</v>
      </c>
      <c r="B7" s="28" t="s">
        <v>165</v>
      </c>
      <c r="C7" s="29">
        <f>IF(COUNT('Calibration Log'!AB7:AB26)=0,"n/a",AVERAGE('Calibration Log'!AB7:AB26))</f>
        <v>-7.8609499340285167E-3</v>
      </c>
      <c r="D7" s="29">
        <f>IF(COUNT('Calibration Log'!AB7:AB26)=0,"n/a",MAX(MAX('Calibration Log'!AB7:AB26),-MIN('Calibration Log'!AB7:AB26)))</f>
        <v>1.7357222844344874E-2</v>
      </c>
      <c r="E7" s="28">
        <f>COUNT('Calibration Log'!AB7:AB26)</f>
        <v>2</v>
      </c>
    </row>
    <row r="8" spans="1:5" x14ac:dyDescent="0.3">
      <c r="A8" s="28" t="s">
        <v>163</v>
      </c>
      <c r="B8" s="28" t="s">
        <v>166</v>
      </c>
      <c r="C8" s="29">
        <f>IF(COUNT('Calibration Log'!AC7:AC26)=0,"n/a",AVERAGE('Calibration Log'!AC7:AC26))</f>
        <v>-0.99891376566080547</v>
      </c>
      <c r="D8" s="29">
        <f>IF(COUNT('Calibration Log'!AC7:AC26)=0,"n/a",MAX(MAX('Calibration Log'!AC7:AC26),-MIN('Calibration Log'!AC7:AC26)))</f>
        <v>0.99891376566080547</v>
      </c>
      <c r="E8" s="28">
        <f>COUNT('Calibration Log'!AC7:AC26)</f>
        <v>1</v>
      </c>
    </row>
    <row r="9" spans="1:5" x14ac:dyDescent="0.3">
      <c r="A9" s="28" t="s">
        <v>167</v>
      </c>
      <c r="B9" s="28" t="s">
        <v>164</v>
      </c>
      <c r="C9" s="29">
        <f>IF(COUNT('Calibration Log'!AD7:AD26)=0,"n/a",AVERAGE('Calibration Log'!AD7:AD26))</f>
        <v>1.336141163137277E-2</v>
      </c>
      <c r="D9" s="29">
        <f>IF(COUNT('Calibration Log'!AD7:AD26)=0,"n/a",MAX(MAX('Calibration Log'!AD7:AD26),-MIN('Calibration Log'!AD7:AD26)))</f>
        <v>1.9261637239165203E-2</v>
      </c>
      <c r="E9" s="28">
        <f>COUNT('Calibration Log'!AD7:AD26)</f>
        <v>12</v>
      </c>
    </row>
    <row r="10" spans="1:5" x14ac:dyDescent="0.3">
      <c r="A10" s="28" t="s">
        <v>167</v>
      </c>
      <c r="B10" s="28" t="s">
        <v>165</v>
      </c>
      <c r="C10" s="29">
        <f>IF(COUNT('Calibration Log'!AE7:AE26)=0,"n/a",AVERAGE('Calibration Log'!AE7:AE26))</f>
        <v>-0.10157333333333333</v>
      </c>
      <c r="D10" s="29">
        <f>IF(COUNT('Calibration Log'!AE7:AE26)=0,"n/a",MAX(MAX('Calibration Log'!AE7:AE26),-MIN('Calibration Log'!AE7:AE26)))</f>
        <v>0.18594666666666659</v>
      </c>
      <c r="E10" s="28">
        <f>COUNT('Calibration Log'!AE7:AE26)</f>
        <v>2</v>
      </c>
    </row>
    <row r="11" spans="1:5" x14ac:dyDescent="0.3">
      <c r="A11" s="28" t="s">
        <v>167</v>
      </c>
      <c r="B11" s="28" t="s">
        <v>166</v>
      </c>
      <c r="C11" s="29">
        <f>IF(COUNT('Calibration Log'!AF7:AF26)=0,"n/a",AVERAGE('Calibration Log'!AF7:AF26))</f>
        <v>-1.2500000000000001E-2</v>
      </c>
      <c r="D11" s="29">
        <f>IF(COUNT('Calibration Log'!AF7:AF26)=0,"n/a",MAX(MAX('Calibration Log'!AF7:AF26),-MIN('Calibration Log'!AF7:AF26)))</f>
        <v>1.2500000000000001E-2</v>
      </c>
      <c r="E11" s="28">
        <f>COUNT('Calibration Log'!AF7:AF26)</f>
        <v>1</v>
      </c>
    </row>
    <row r="12" spans="1:5" x14ac:dyDescent="0.3">
      <c r="A12" s="28" t="s">
        <v>168</v>
      </c>
      <c r="B12" s="28" t="s">
        <v>164</v>
      </c>
      <c r="C12" s="29">
        <f>IF(COUNT('Calibration Log'!AG7:AG26)=0,"n/a",AVERAGE('Calibration Log'!AG7:AG26))</f>
        <v>1.0630970652441694E-2</v>
      </c>
      <c r="D12" s="29">
        <f>IF(COUNT('Calibration Log'!AG7:AG26)=0,"n/a",MAX(MAX('Calibration Log'!AG7:AG26),-MIN('Calibration Log'!AG7:AG26)))</f>
        <v>1.4666987256552041E-2</v>
      </c>
      <c r="E12" s="28">
        <f>COUNT('Calibration Log'!AG7:AG26)</f>
        <v>12</v>
      </c>
    </row>
    <row r="13" spans="1:5" x14ac:dyDescent="0.3">
      <c r="A13" s="28" t="s">
        <v>168</v>
      </c>
      <c r="B13" s="28" t="s">
        <v>165</v>
      </c>
      <c r="C13" s="29">
        <f>IF(COUNT('Calibration Log'!AH7:AH26)=0,"n/a",AVERAGE('Calibration Log'!AH7:AH26))</f>
        <v>-6.8388730738486309E-3</v>
      </c>
      <c r="D13" s="29">
        <f>IF(COUNT('Calibration Log'!AH7:AH26)=0,"n/a",MAX(MAX('Calibration Log'!AH7:AH26),-MIN('Calibration Log'!AH7:AH26)))</f>
        <v>1.7357222844344874E-2</v>
      </c>
      <c r="E13" s="28">
        <f>COUNT('Calibration Log'!AH7:AH26)</f>
        <v>2</v>
      </c>
    </row>
    <row r="14" spans="1:5" x14ac:dyDescent="0.3">
      <c r="A14" s="28" t="s">
        <v>168</v>
      </c>
      <c r="B14" s="28" t="s">
        <v>166</v>
      </c>
      <c r="C14" s="29">
        <f>IF(COUNT('Calibration Log'!AI7:AI26)=0,"n/a",AVERAGE('Calibration Log'!AI7:AI26))</f>
        <v>0.11890304112527006</v>
      </c>
      <c r="D14" s="29">
        <f>IF(COUNT('Calibration Log'!AI7:AI26)=0,"n/a",MAX(MAX('Calibration Log'!AI7:AI26),-MIN('Calibration Log'!AI7:AI26)))</f>
        <v>0.11890304112527006</v>
      </c>
      <c r="E14" s="28">
        <f>COUNT('Calibration Log'!AI7:AI26)</f>
        <v>1</v>
      </c>
    </row>
    <row r="15" spans="1:5" x14ac:dyDescent="0.3">
      <c r="A15" s="28" t="s">
        <v>169</v>
      </c>
      <c r="B15" s="28" t="s">
        <v>164</v>
      </c>
      <c r="C15" s="29">
        <f>IF(COUNT('Calibration Log'!AJ7:AJ26)=0,"n/a",AVERAGE('Calibration Log'!AJ7:AJ26))</f>
        <v>1.3628058527391351E-2</v>
      </c>
      <c r="D15" s="29">
        <f>IF(COUNT('Calibration Log'!AJ7:AJ26)=0,"n/a",MAX(MAX('Calibration Log'!AJ7:AJ26),-MIN('Calibration Log'!AJ7:AJ26)))</f>
        <v>1.6051364365971051E-2</v>
      </c>
      <c r="E15" s="28">
        <f>COUNT('Calibration Log'!AJ7:AJ26)</f>
        <v>12</v>
      </c>
    </row>
    <row r="16" spans="1:5" x14ac:dyDescent="0.3">
      <c r="A16" s="28" t="s">
        <v>169</v>
      </c>
      <c r="B16" s="28" t="s">
        <v>165</v>
      </c>
      <c r="C16" s="29">
        <f>IF(COUNT('Calibration Log'!AK7:AK26)=0,"n/a",AVERAGE('Calibration Log'!AK7:AK26))</f>
        <v>-0.10074266666666667</v>
      </c>
      <c r="D16" s="29">
        <f>IF(COUNT('Calibration Log'!AK7:AK26)=0,"n/a",MAX(MAX('Calibration Log'!AK7:AK26),-MIN('Calibration Log'!AK7:AK26)))</f>
        <v>0.18428533333333327</v>
      </c>
      <c r="E16" s="28">
        <f>COUNT('Calibration Log'!AK7:AK26)</f>
        <v>2</v>
      </c>
    </row>
    <row r="17" spans="1:5" x14ac:dyDescent="0.3">
      <c r="A17" s="28" t="s">
        <v>169</v>
      </c>
      <c r="B17" s="28" t="s">
        <v>166</v>
      </c>
      <c r="C17" s="29">
        <f>IF(COUNT('Calibration Log'!AL7:AL26)=0,"n/a",AVERAGE('Calibration Log'!AL7:AL26))</f>
        <v>-1.2500000000000001E-2</v>
      </c>
      <c r="D17" s="29">
        <f>IF(COUNT('Calibration Log'!AL7:AL26)=0,"n/a",MAX(MAX('Calibration Log'!AL7:AL26),-MIN('Calibration Log'!AL7:AL26)))</f>
        <v>1.2500000000000001E-2</v>
      </c>
      <c r="E17" s="28">
        <f>COUNT('Calibration Log'!AL7:AL26)</f>
        <v>1</v>
      </c>
    </row>
    <row r="18" spans="1:5" x14ac:dyDescent="0.3">
      <c r="A18" s="28" t="s">
        <v>170</v>
      </c>
      <c r="B18" s="28" t="s">
        <v>164</v>
      </c>
      <c r="C18" s="29">
        <f>IF(COUNT('Calibration Log'!AM7:AM26)=0,"n/a",AVERAGE('Calibration Log'!AM7:AM26))</f>
        <v>2.9659152866315305E-3</v>
      </c>
      <c r="D18" s="29">
        <f>IF(COUNT('Calibration Log'!AM7:AM26)=0,"n/a",MAX(MAX('Calibration Log'!AM7:AM26),-MIN('Calibration Log'!AM7:AM26)))</f>
        <v>5.3990610328639157E-3</v>
      </c>
      <c r="E18" s="28">
        <f>COUNT('Calibration Log'!AM7:AM26)</f>
        <v>12</v>
      </c>
    </row>
    <row r="19" spans="1:5" x14ac:dyDescent="0.3">
      <c r="A19" s="28" t="s">
        <v>170</v>
      </c>
      <c r="B19" s="28" t="s">
        <v>165</v>
      </c>
      <c r="C19" s="29">
        <f>IF(COUNT('Calibration Log'!AN7:AN26)=0,"n/a",AVERAGE('Calibration Log'!AN7:AN26))</f>
        <v>1.7422888222222193E-2</v>
      </c>
      <c r="D19" s="29">
        <f>IF(COUNT('Calibration Log'!AN7:AN26)=0,"n/a",MAX(MAX('Calibration Log'!AN7:AN26),-MIN('Calibration Log'!AN7:AN26)))</f>
        <v>0.7847429600000001</v>
      </c>
      <c r="E19" s="28">
        <f>COUNT('Calibration Log'!AN7:AN26)</f>
        <v>12</v>
      </c>
    </row>
    <row r="20" spans="1:5" x14ac:dyDescent="0.3">
      <c r="A20" s="28" t="s">
        <v>170</v>
      </c>
      <c r="B20" s="28" t="s">
        <v>166</v>
      </c>
      <c r="C20" s="29" t="str">
        <f>IF(COUNT('Calibration Log'!AO7:AO26)=0,"n/a",AVERAGE('Calibration Log'!AO7:AO26))</f>
        <v>n/a</v>
      </c>
      <c r="D20" s="29" t="str">
        <f>IF(COUNT('Calibration Log'!AO7:AO26)=0,"n/a",MAX(MAX('Calibration Log'!AO7:AO26),-MIN('Calibration Log'!AO7:AO26)))</f>
        <v>n/a</v>
      </c>
      <c r="E20" s="28">
        <f>COUNT('Calibration Log'!AO7:AO26)</f>
        <v>0</v>
      </c>
    </row>
    <row r="22" spans="1:5" x14ac:dyDescent="0.3">
      <c r="A22" s="3" t="s">
        <v>171</v>
      </c>
    </row>
    <row r="23" spans="1:5" x14ac:dyDescent="0.3">
      <c r="A23" s="2" t="s">
        <v>172</v>
      </c>
      <c r="B23" s="2"/>
      <c r="C23" s="2">
        <f>COUNTIF('Calibration Log'!AQ7:AQ26,"PASS")</f>
        <v>0</v>
      </c>
      <c r="D23" s="2"/>
      <c r="E23" s="2"/>
    </row>
    <row r="24" spans="1:5" x14ac:dyDescent="0.3">
      <c r="A24" s="2" t="s">
        <v>173</v>
      </c>
      <c r="B24" s="2"/>
      <c r="C24" s="2">
        <f>COUNTIF('Calibration Log'!AQ7:AQ26,"FAIL")</f>
        <v>1</v>
      </c>
      <c r="D24" s="2"/>
      <c r="E24" s="2"/>
    </row>
    <row r="25" spans="1:5" x14ac:dyDescent="0.3">
      <c r="A25" s="2" t="s">
        <v>174</v>
      </c>
      <c r="B25" s="2"/>
      <c r="C25" s="2">
        <f>COUNTIF('Calibration Log'!AP7:AP26,"CHECK")</f>
        <v>1</v>
      </c>
      <c r="D25" s="2"/>
      <c r="E25" s="2"/>
    </row>
    <row r="27" spans="1:5" x14ac:dyDescent="0.3">
      <c r="A27" s="4" t="s">
        <v>175</v>
      </c>
      <c r="B27" s="4"/>
      <c r="C27" s="4"/>
      <c r="D27" s="4"/>
      <c r="E27" s="4"/>
    </row>
    <row r="28" spans="1:5" x14ac:dyDescent="0.3">
      <c r="A28" s="5" t="s">
        <v>39</v>
      </c>
      <c r="B28" s="5" t="s">
        <v>176</v>
      </c>
      <c r="C28" s="5" t="s">
        <v>177</v>
      </c>
      <c r="D28" s="5" t="s">
        <v>178</v>
      </c>
      <c r="E28" s="5" t="s">
        <v>162</v>
      </c>
    </row>
    <row r="29" spans="1:5" x14ac:dyDescent="0.3">
      <c r="A29" s="28" t="s">
        <v>44</v>
      </c>
      <c r="B29" s="28">
        <f>Setup!$B$27</f>
        <v>10926</v>
      </c>
      <c r="C29" s="30">
        <f>IF(COUNT('Calibration Log'!AR7:AR26)=0,"n/a",AVERAGE('Calibration Log'!AR7:AR26))</f>
        <v>0.9897556338294865</v>
      </c>
      <c r="D29" s="28">
        <f>IF(ISNUMBER(C29),ROUND(B29*C29,0),"n/a")</f>
        <v>10814</v>
      </c>
      <c r="E29" s="28">
        <f>COUNT('Calibration Log'!AR7:AR26)</f>
        <v>12</v>
      </c>
    </row>
    <row r="30" spans="1:5" x14ac:dyDescent="0.3">
      <c r="A30" s="28" t="s">
        <v>47</v>
      </c>
      <c r="B30" s="28">
        <f>Setup!$B$28</f>
        <v>3877</v>
      </c>
      <c r="C30" s="30">
        <f>IF(COUNT('Calibration Log'!AS7:AS26)=0,"n/a",AVERAGE('Calibration Log'!AS7:AS26))</f>
        <v>1.0080155823012964</v>
      </c>
      <c r="D30" s="28">
        <f>IF(ISNUMBER(C30),ROUND(B30*C30,0),"n/a")</f>
        <v>3908</v>
      </c>
      <c r="E30" s="28">
        <f>COUNT('Calibration Log'!AS7:AS26)</f>
        <v>2</v>
      </c>
    </row>
    <row r="31" spans="1:5" x14ac:dyDescent="0.3">
      <c r="A31" s="28" t="s">
        <v>50</v>
      </c>
      <c r="B31" s="28">
        <f>Setup!$B$29</f>
        <v>4236</v>
      </c>
      <c r="C31" s="30">
        <f>IF(COUNT('Calibration Log'!AT7:AT26)=0,"n/a",AVERAGE('Calibration Log'!AT7:AT26))</f>
        <v>920.61166169857574</v>
      </c>
      <c r="D31" s="28">
        <f>IF(ISNUMBER(C31),ROUND(B31*C31,0),"n/a")</f>
        <v>3899711</v>
      </c>
      <c r="E31" s="28">
        <f>COUNT('Calibration Log'!AT7:AT26)</f>
        <v>1</v>
      </c>
    </row>
    <row r="33" spans="1:5" x14ac:dyDescent="0.3">
      <c r="A33" s="2" t="s">
        <v>179</v>
      </c>
      <c r="B33" s="2"/>
      <c r="C33" s="2"/>
      <c r="D33" s="31">
        <f>Setup!B39</f>
        <v>422</v>
      </c>
      <c r="E33" s="2"/>
    </row>
    <row r="34" spans="1:5" x14ac:dyDescent="0.3">
      <c r="A34" s="2" t="s">
        <v>180</v>
      </c>
      <c r="B34" s="2"/>
      <c r="C34" s="32">
        <f>IF(AND(ISNUMBER(C29),ISNUMBER(C30),ISNUMBER(C31)),C29*C30/C31,"n/a")</f>
        <v>1.0837241619662203E-3</v>
      </c>
      <c r="D34" s="2" t="str">
        <f>IF(ISNUMBER(C34),IF(ABS(C34-1)&gt;0.02,"V x I does not explain P: suspect V/I sample skew or phase","consistent"),"")</f>
        <v>V x I does not explain P: suspect V/I sample skew or phase</v>
      </c>
      <c r="E34" s="2"/>
    </row>
    <row r="35" spans="1:5" x14ac:dyDescent="0.3">
      <c r="A35" s="2" t="s">
        <v>181</v>
      </c>
      <c r="B35" s="2"/>
      <c r="C35" s="2"/>
      <c r="D35" s="2"/>
      <c r="E35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Calibration Log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Uzayr Scholtz</cp:lastModifiedBy>
  <cp:revision>1</cp:revision>
  <dcterms:created xsi:type="dcterms:W3CDTF">2026-10-18T01:03:53Z</dcterms:created>
  <dcterms:modified xsi:type="dcterms:W3CDTF">2026-10-20T23:39:44Z</dcterms:modified>
  <dc:language>en-US</dc:language>
</cp:coreProperties>
</file>